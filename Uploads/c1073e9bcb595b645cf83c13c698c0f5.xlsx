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<sst xmlns="http://schemas.openxmlformats.org/spreadsheetml/2006/main" count="78" uniqueCount="71">
  <si>
    <t>SALES ORDER FORM</t>
  </si>
  <si>
    <t xml:space="preserve">S.N. </t>
  </si>
  <si>
    <t>GEMC-511687715789539, GEMC-511687768153700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</si>
  <si>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</si>
  <si>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</si>
  <si>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</si>
  <si>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</si>
  <si>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PRIVATE LIMITED            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</si>
  <si>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</si>
  <si>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</si>
  <si>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Human Rights Commission, Haryana</t>
  </si>
  <si>
    <t>Customer's/Partners's  Billing Address</t>
  </si>
  <si>
    <t>Human Rights Commission, Haryana, Plot No.1, Nirman Sadan, Sec. 33-A, CHANDIGARH, CHANDIGARH-160020,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</si>
  <si>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</si>
  <si>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</si>
  <si>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</si>
  <si>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</si>
  <si>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</si>
  <si>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Mr. Abhishek Kharbanda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</si>
  <si>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</si>
  <si>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</si>
  <si>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</si>
  <si>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t>79867 12044</t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</si>
  <si>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</si>
  <si>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pao1.hhrc.cdg@gembuyer.in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</si>
  <si>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</si>
  <si>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</si>
  <si>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</si>
  <si>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</si>
  <si>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</si>
  <si>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</si>
  <si>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</si>
  <si>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</si>
  <si>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</si>
  <si>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 xml:space="preserve">100% after delivery and Installation 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</si>
  <si>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</si>
  <si>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</si>
  <si>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</si>
  <si>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</si>
  <si>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</si>
  <si>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</si>
  <si>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</si>
  <si>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</si>
  <si>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</si>
  <si>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</si>
  <si>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</si>
  <si>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</si>
  <si>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</si>
  <si>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</si>
  <si>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</si>
  <si>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r>
      <rPr>
        <b/>
        <sz val="10"/>
        <color theme="1"/>
        <rFont val="Calibri"/>
        <charset val="134"/>
        <scheme val="minor"/>
      </rPr>
      <t xml:space="preserve">Speakerphone. wireless audio conferencing system </t>
    </r>
    <r>
      <rPr>
        <sz val="10"/>
        <color theme="1"/>
        <rFont val="Calibri"/>
        <charset val="134"/>
        <scheme val="minor"/>
      </rPr>
      <t>featuring a 360° omnidirectional microphone with an 8-meter pickup radius (expandable to 10 meters using two additional mics). It supports deep echo cancellation of over 65dB with ≤500ms length, bidirectional noise compression under 25dB, automatic gain control, and intelligent mic orientation. The microphone and speaker both cover a frequency response of 100Hz–22kHz, with the speaker output reaching up to 95dB. The system is driver-free and compatible with Windows, Android, iOS, and Linux, while also working seamlessly with Zoom, Microsoft Teams, and Vidyo.</t>
    </r>
  </si>
  <si>
    <t>cables and connectors</t>
  </si>
  <si>
    <t>Installation charges</t>
  </si>
  <si>
    <t xml:space="preserve">TOTAL </t>
  </si>
  <si>
    <r>
      <rPr>
        <b/>
        <sz val="10"/>
        <color theme="1"/>
        <rFont val="Calibri"/>
        <charset val="134"/>
        <scheme val="minor"/>
      </rPr>
      <t xml:space="preserve">98" inch panel 4K Interactive Flat Panel Display:- </t>
    </r>
    <r>
      <rPr>
        <sz val="10"/>
        <color theme="1"/>
        <rFont val="Calibri"/>
        <charset val="134"/>
        <scheme val="minor"/>
      </rPr>
      <t>Android 14 4K UHD (3840×2160), Android 14.0, 8-Core CPU, 8GB RAM, 128GB ROM; Built-in Wi-Fi, Bluetooth 5.0, 2×20W speakers;  with  Integrated OPS (Core i5–8GB RAM, 256GB SSD)</t>
    </r>
  </si>
  <si>
    <r>
      <rPr>
        <b/>
        <sz val="10"/>
        <color theme="1"/>
        <rFont val="Calibri"/>
        <charset val="134"/>
        <scheme val="minor"/>
      </rPr>
      <t>Digital Conference System Host,</t>
    </r>
    <r>
      <rPr>
        <sz val="10"/>
        <color theme="1"/>
        <rFont val="Calibri"/>
        <charset val="134"/>
        <scheme val="minor"/>
      </rPr>
      <t>Model No. PMP9866 Small to medium digital conference system, One controller support max 50 microphone units, 2 channels outputs for microphone units connection, Three working mode: First in first out, fully open mode, chairman mode, Chairman Mic with priority function, with chairman only on/off options, Connected through 8 Pins conference cable or Cat-5 cable, Equipped with recording output interface for conference recording</t>
    </r>
  </si>
  <si>
    <r>
      <rPr>
        <b/>
        <sz val="10"/>
        <color theme="1"/>
        <rFont val="Calibri"/>
        <charset val="134"/>
        <scheme val="minor"/>
      </rPr>
      <t xml:space="preserve">Digital Conference System Model No. PM6117 </t>
    </r>
    <r>
      <rPr>
        <sz val="10"/>
        <color theme="1"/>
        <rFont val="Calibri"/>
        <charset val="134"/>
        <scheme val="minor"/>
      </rPr>
      <t xml:space="preserve">POP-UP Embedded Desk Boundary Chairman Microphone, Fully digital-control design Powered by system host, With 8-pins socket and RJ-45 socket for connection, With a replaceable windproof cover, Elongated microphone neck </t>
    </r>
  </si>
  <si>
    <r>
      <rPr>
        <b/>
        <sz val="10"/>
        <color theme="1"/>
        <rFont val="Calibri"/>
        <charset val="134"/>
        <scheme val="minor"/>
      </rPr>
      <t>Audio DSP 2 in Mic</t>
    </r>
    <r>
      <rPr>
        <sz val="10"/>
        <color theme="1"/>
        <rFont val="Calibri"/>
        <charset val="134"/>
        <scheme val="minor"/>
      </rPr>
      <t>/Line Input &amp; 2 Output Mic/Line, AEC enabled license for VC application, USB audio in&amp;out for soft vc Built for unified communications THD+N (22Hz to 22kHz) 0.002% (1kHz @ +4dBu), A/D-D/A Converters 32-bit, Freqancy Response 20hz to 20Khz</t>
    </r>
  </si>
  <si>
    <r>
      <rPr>
        <b/>
        <sz val="10"/>
        <color theme="1"/>
        <rFont val="Calibri"/>
        <charset val="134"/>
        <scheme val="minor"/>
      </rPr>
      <t>USB transmitter &amp; Receiver set</t>
    </r>
    <r>
      <rPr>
        <sz val="10"/>
        <color theme="1"/>
        <rFont val="Calibri"/>
        <charset val="134"/>
        <scheme val="minor"/>
      </rPr>
      <t xml:space="preserve"> over cat-6 cable Crystal clear  transmission with zero latency across up to 40 m via a Cat 6 cable </t>
    </r>
  </si>
  <si>
    <t>Cable &amp; Connector for complete installation</t>
  </si>
  <si>
    <t>Installation, Testing &amp; Commisoning including Programming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</si>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</sst>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  <numFmt numFmtId="182" formatCode="#\ ?/?"/>
  </numFmts>
  <fonts count="41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name val="Calibri"/>
      <charset val="134"/>
    </font>
    <font>
      <u/>
      <sz val="11"/>
      <color theme="10"/>
      <name val="Calibri"/>
      <charset val="134"/>
    </font>
    <font>
      <i/>
      <sz val="10"/>
      <name val="Calibri"/>
      <charset val="134"/>
      <scheme val="minor"/>
    </font>
    <font>
      <b/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9" fillId="9" borderId="1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20" applyNumberFormat="0" applyAlignment="0" applyProtection="0">
      <alignment vertical="center"/>
    </xf>
    <xf numFmtId="0" fontId="28" fillId="11" borderId="21" applyNumberFormat="0" applyAlignment="0" applyProtection="0">
      <alignment vertical="center"/>
    </xf>
    <xf numFmtId="0" fontId="29" fillId="11" borderId="20" applyNumberFormat="0" applyAlignment="0" applyProtection="0">
      <alignment vertical="center"/>
    </xf>
    <xf numFmtId="0" fontId="30" fillId="12" borderId="22" applyNumberFormat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</cellStyleXfs>
  <cellXfs count="8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2" fontId="11" fillId="4" borderId="2" xfId="0" applyNumberFormat="1" applyFont="1" applyFill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 wrapText="1"/>
    </xf>
    <xf numFmtId="2" fontId="11" fillId="4" borderId="11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2" fillId="4" borderId="12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3" fillId="0" borderId="1" xfId="6" applyFont="1" applyBorder="1" applyAlignment="1" applyProtection="1">
      <alignment horizontal="center" vertical="center" wrapText="1"/>
    </xf>
    <xf numFmtId="0" fontId="14" fillId="0" borderId="1" xfId="6" applyBorder="1" applyAlignment="1" applyProtection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/>
    </xf>
    <xf numFmtId="9" fontId="15" fillId="4" borderId="1" xfId="0" applyNumberFormat="1" applyFont="1" applyFill="1" applyBorder="1" applyAlignment="1">
      <alignment horizontal="center" vertical="center"/>
    </xf>
    <xf numFmtId="1" fontId="15" fillId="4" borderId="15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1" fontId="16" fillId="7" borderId="16" xfId="0" applyNumberFormat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182" fontId="11" fillId="4" borderId="1" xfId="0" applyNumberFormat="1" applyFont="1" applyFill="1" applyBorder="1" applyAlignment="1">
      <alignment horizontal="center" vertical="center"/>
    </xf>
    <xf numFmtId="1" fontId="17" fillId="7" borderId="15" xfId="0" applyNumberFormat="1" applyFont="1" applyFill="1" applyBorder="1" applyAlignment="1">
      <alignment horizontal="center" vertical="center"/>
    </xf>
    <xf numFmtId="0" fontId="18" fillId="0" borderId="0" xfId="0" applyFont="1"/>
    <xf numFmtId="1" fontId="17" fillId="4" borderId="1" xfId="0" applyNumberFormat="1" applyFont="1" applyFill="1" applyBorder="1" applyAlignment="1">
      <alignment horizontal="center" vertical="center"/>
    </xf>
    <xf numFmtId="0" fontId="9" fillId="0" borderId="2" xfId="0" applyFont="1" applyBorder="1" applyAlignment="1" quotePrefix="1">
      <alignment horizontal="center" vertical="center"/>
    </xf>
    <xf numFmtId="1" fontId="9" fillId="0" borderId="2" xfId="0" applyNumberFormat="1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o1.hhrc.cdg@gembuyer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45"/>
  <sheetViews>
    <sheetView tabSelected="1" topLeftCell="A13" workbookViewId="0">
      <selection activeCell="L24" sqref="L24"/>
    </sheetView>
  </sheetViews>
  <sheetFormatPr defaultColWidth="9.13888888888889" defaultRowHeight="14.4"/>
  <cols>
    <col min="1" max="1" width="0.712962962962963" style="5" customWidth="1"/>
    <col min="2" max="2" width="6.42592592592593" style="5" customWidth="1"/>
    <col min="3" max="3" width="38.5740740740741" style="5" customWidth="1"/>
    <col min="4" max="4" width="9.57407407407407" style="5" customWidth="1"/>
    <col min="5" max="5" width="8.71296296296296" style="5" customWidth="1"/>
    <col min="6" max="6" width="7" style="5" customWidth="1"/>
    <col min="7" max="8" width="11.1388888888889" style="5" customWidth="1"/>
    <col min="9" max="9" width="9.85185185185185" style="5" customWidth="1"/>
    <col min="10" max="10" width="14.1388888888889" style="5" customWidth="1"/>
    <col min="11" max="53" width="6.42592592592593" style="5" customWidth="1"/>
    <col min="54" max="59" width="6.71296296296296" style="5" customWidth="1"/>
    <col min="60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9" t="s">
        <v>2</v>
      </c>
      <c r="D3" s="10"/>
      <c r="E3" s="10"/>
      <c r="F3" s="11"/>
      <c r="G3" s="12" t="s">
        <v>3</v>
      </c>
      <c r="H3" s="13">
        <v>45933</v>
      </c>
      <c r="I3" s="12"/>
      <c r="J3" s="12"/>
      <c r="K3" s="4"/>
      <c r="L3" s="4"/>
    </row>
    <row r="4" ht="19.5" customHeight="1" spans="2:12">
      <c r="B4" s="14" t="s">
        <v>4</v>
      </c>
      <c r="C4" s="14"/>
      <c r="D4" s="14"/>
      <c r="E4" s="14"/>
      <c r="F4" s="14"/>
      <c r="G4" s="14"/>
      <c r="H4" s="14"/>
      <c r="I4" s="14"/>
      <c r="J4" s="14"/>
      <c r="K4" s="4"/>
      <c r="L4" s="4" t="s">
        <v>5</v>
      </c>
    </row>
    <row r="5" ht="13.5" customHeight="1" spans="2:12">
      <c r="B5" s="15" t="s">
        <v>6</v>
      </c>
      <c r="C5" s="15"/>
      <c r="D5" s="16" t="s">
        <v>7</v>
      </c>
      <c r="E5" s="16"/>
      <c r="F5" s="16"/>
      <c r="G5" s="16"/>
      <c r="H5" s="16"/>
      <c r="I5" s="16"/>
      <c r="J5" s="16"/>
      <c r="K5" s="4"/>
      <c r="L5" s="4"/>
    </row>
    <row r="6" ht="8.25" customHeight="1" spans="2:12">
      <c r="B6" s="15"/>
      <c r="C6" s="15"/>
      <c r="D6" s="16"/>
      <c r="E6" s="16"/>
      <c r="F6" s="16"/>
      <c r="G6" s="16"/>
      <c r="H6" s="16"/>
      <c r="I6" s="16"/>
      <c r="J6" s="16"/>
      <c r="K6" s="4"/>
      <c r="L6" s="4"/>
    </row>
    <row r="7" ht="11.25" customHeight="1" spans="2:12">
      <c r="B7" s="15"/>
      <c r="C7" s="15"/>
      <c r="D7" s="16"/>
      <c r="E7" s="16"/>
      <c r="F7" s="16"/>
      <c r="G7" s="16"/>
      <c r="H7" s="16"/>
      <c r="I7" s="16"/>
      <c r="J7" s="16"/>
      <c r="K7" s="4"/>
      <c r="L7" s="4"/>
    </row>
    <row r="8" ht="24.6" customHeight="1" spans="2:12">
      <c r="B8" s="17" t="s">
        <v>8</v>
      </c>
      <c r="C8" s="17"/>
      <c r="D8" s="17"/>
      <c r="E8" s="17"/>
      <c r="F8" s="17"/>
      <c r="G8" s="17"/>
      <c r="H8" s="17"/>
      <c r="I8" s="17"/>
      <c r="J8" s="17"/>
      <c r="K8" s="4"/>
      <c r="L8" s="4"/>
    </row>
    <row r="9" ht="25.5" customHeight="1" spans="2:12">
      <c r="B9" s="8" t="s">
        <v>9</v>
      </c>
      <c r="C9" s="8"/>
      <c r="D9" s="12" t="s">
        <v>10</v>
      </c>
      <c r="E9" s="12"/>
      <c r="F9" s="12"/>
      <c r="G9" s="12"/>
      <c r="H9" s="12"/>
      <c r="I9" s="12"/>
      <c r="J9" s="12"/>
      <c r="K9" s="4"/>
      <c r="L9" s="4" t="s">
        <v>5</v>
      </c>
    </row>
    <row r="10" ht="33.75" customHeight="1" spans="2:12">
      <c r="B10" s="8" t="s">
        <v>11</v>
      </c>
      <c r="C10" s="8"/>
      <c r="D10" s="18" t="s">
        <v>12</v>
      </c>
      <c r="E10" s="18"/>
      <c r="F10" s="18"/>
      <c r="G10" s="18"/>
      <c r="H10" s="18"/>
      <c r="I10" s="18"/>
      <c r="J10" s="18"/>
      <c r="K10" s="4"/>
      <c r="L10" s="4"/>
    </row>
    <row r="11" ht="33.75" customHeight="1" spans="2:12">
      <c r="B11" s="19" t="s">
        <v>13</v>
      </c>
      <c r="C11" s="20"/>
      <c r="D11" s="18" t="s">
        <v>12</v>
      </c>
      <c r="E11" s="18"/>
      <c r="F11" s="18"/>
      <c r="G11" s="18"/>
      <c r="H11" s="18"/>
      <c r="I11" s="18"/>
      <c r="J11" s="18"/>
      <c r="K11" s="4"/>
      <c r="L11" s="4"/>
    </row>
    <row r="12" ht="27" customHeight="1" spans="2:12">
      <c r="B12" s="21" t="s">
        <v>14</v>
      </c>
      <c r="C12" s="22"/>
      <c r="D12" s="87" t="s">
        <v>15</v>
      </c>
      <c r="E12" s="24"/>
      <c r="F12" s="24"/>
      <c r="G12" s="25"/>
      <c r="H12" s="26" t="s">
        <v>16</v>
      </c>
      <c r="I12" s="68"/>
      <c r="J12" s="69"/>
      <c r="K12" s="4"/>
      <c r="L12" s="4"/>
    </row>
    <row r="13" ht="23.25" customHeight="1" spans="2:12">
      <c r="B13" s="8" t="s">
        <v>17</v>
      </c>
      <c r="C13" s="8"/>
      <c r="D13" s="9" t="s">
        <v>18</v>
      </c>
      <c r="E13" s="24"/>
      <c r="F13" s="24"/>
      <c r="G13" s="25"/>
      <c r="H13" s="26" t="s">
        <v>19</v>
      </c>
      <c r="I13" s="68"/>
      <c r="J13" s="69" t="s">
        <v>20</v>
      </c>
      <c r="K13" s="4"/>
      <c r="L13" s="4"/>
    </row>
    <row r="14" ht="28.5" customHeight="1" spans="2:12">
      <c r="B14" s="8" t="s">
        <v>21</v>
      </c>
      <c r="C14" s="8"/>
      <c r="D14" s="88" t="s">
        <v>22</v>
      </c>
      <c r="E14" s="28"/>
      <c r="F14" s="28"/>
      <c r="G14" s="29"/>
      <c r="H14" s="26" t="s">
        <v>23</v>
      </c>
      <c r="I14" s="68"/>
      <c r="J14" s="70" t="s">
        <v>24</v>
      </c>
      <c r="K14" s="4"/>
      <c r="L14" s="4"/>
    </row>
    <row r="15" ht="23.25" customHeight="1" spans="2:12">
      <c r="B15" s="8" t="s">
        <v>25</v>
      </c>
      <c r="C15" s="8"/>
      <c r="D15" s="23" t="s">
        <v>26</v>
      </c>
      <c r="E15" s="24"/>
      <c r="F15" s="24"/>
      <c r="G15" s="25"/>
      <c r="H15" s="30" t="s">
        <v>27</v>
      </c>
      <c r="I15" s="71"/>
      <c r="J15" s="72"/>
      <c r="K15" s="4"/>
      <c r="L15" s="4"/>
    </row>
    <row r="16" ht="23.25" customHeight="1" spans="2:12">
      <c r="B16" s="8" t="s">
        <v>28</v>
      </c>
      <c r="C16" s="8"/>
      <c r="D16" s="23" t="s">
        <v>29</v>
      </c>
      <c r="E16" s="24"/>
      <c r="F16" s="24"/>
      <c r="G16" s="25"/>
      <c r="H16" s="26"/>
      <c r="I16" s="68"/>
      <c r="J16" s="73"/>
      <c r="K16" s="4"/>
      <c r="L16" s="4"/>
    </row>
    <row r="17" ht="23.25" customHeight="1" spans="2:12">
      <c r="B17" s="19" t="s">
        <v>30</v>
      </c>
      <c r="C17" s="20"/>
      <c r="D17" s="23" t="s">
        <v>29</v>
      </c>
      <c r="E17" s="24"/>
      <c r="F17" s="24"/>
      <c r="G17" s="25"/>
      <c r="H17" s="26" t="s">
        <v>31</v>
      </c>
      <c r="I17" s="68"/>
      <c r="J17" s="73"/>
      <c r="K17" s="4"/>
      <c r="L17" s="4"/>
    </row>
    <row r="18" s="1" customFormat="1" ht="19.5" customHeight="1" spans="2:13">
      <c r="B18" s="14" t="s">
        <v>32</v>
      </c>
      <c r="C18" s="14"/>
      <c r="D18" s="14"/>
      <c r="E18" s="14"/>
      <c r="F18" s="14"/>
      <c r="G18" s="14"/>
      <c r="H18" s="14"/>
      <c r="I18" s="14"/>
      <c r="J18" s="14"/>
      <c r="K18" s="74"/>
      <c r="L18" s="74"/>
      <c r="M18"/>
    </row>
    <row r="19" ht="18.75" customHeight="1" spans="2:12">
      <c r="B19" s="31" t="s">
        <v>33</v>
      </c>
      <c r="C19" s="31"/>
      <c r="D19" s="32" t="s">
        <v>34</v>
      </c>
      <c r="E19" s="32"/>
      <c r="F19" s="32"/>
      <c r="G19" s="32"/>
      <c r="H19" s="32"/>
      <c r="I19" s="32"/>
      <c r="J19" s="32"/>
      <c r="K19" s="4"/>
      <c r="L19" s="4"/>
    </row>
    <row r="20" ht="18.75" customHeight="1" spans="2:12">
      <c r="B20" s="31" t="s">
        <v>35</v>
      </c>
      <c r="C20" s="31"/>
      <c r="D20" s="32" t="s">
        <v>36</v>
      </c>
      <c r="E20" s="32"/>
      <c r="F20" s="32"/>
      <c r="G20" s="32"/>
      <c r="H20" s="32"/>
      <c r="I20" s="32"/>
      <c r="J20" s="32"/>
      <c r="K20" s="4"/>
      <c r="L20" s="4"/>
    </row>
    <row r="21" ht="18.75" customHeight="1" spans="2:12">
      <c r="B21" s="31" t="s">
        <v>37</v>
      </c>
      <c r="C21" s="31"/>
      <c r="D21" s="32" t="s">
        <v>38</v>
      </c>
      <c r="E21" s="32"/>
      <c r="F21" s="32"/>
      <c r="G21" s="32"/>
      <c r="H21" s="32"/>
      <c r="I21" s="32"/>
      <c r="J21" s="32"/>
      <c r="K21" s="4"/>
      <c r="L21"/>
    </row>
    <row r="22" ht="18.75" customHeight="1" spans="2:12">
      <c r="B22" s="31" t="s">
        <v>39</v>
      </c>
      <c r="C22" s="31"/>
      <c r="D22" s="32" t="s">
        <v>36</v>
      </c>
      <c r="E22" s="32"/>
      <c r="F22" s="32"/>
      <c r="G22" s="32"/>
      <c r="H22" s="32"/>
      <c r="I22" s="32"/>
      <c r="J22" s="32"/>
      <c r="K22" s="4"/>
      <c r="L22" s="4"/>
    </row>
    <row r="23" ht="18.75" customHeight="1" spans="2:12">
      <c r="B23" s="33" t="s">
        <v>40</v>
      </c>
      <c r="C23" s="33"/>
      <c r="D23" s="34" t="s">
        <v>15</v>
      </c>
      <c r="E23" s="32"/>
      <c r="F23" s="32"/>
      <c r="G23" s="32"/>
      <c r="H23" s="32"/>
      <c r="I23" s="32"/>
      <c r="J23" s="32"/>
      <c r="K23" s="4"/>
      <c r="L23" s="4"/>
    </row>
    <row r="24" ht="18.75" customHeight="1" spans="2:15">
      <c r="B24" s="21" t="s">
        <v>41</v>
      </c>
      <c r="C24" s="22"/>
      <c r="D24" s="35">
        <v>45940</v>
      </c>
      <c r="E24" s="36"/>
      <c r="F24" s="36"/>
      <c r="G24" s="36"/>
      <c r="H24" s="36"/>
      <c r="I24" s="36"/>
      <c r="J24" s="36"/>
      <c r="K24" s="4"/>
      <c r="L24" s="4"/>
      <c r="O24"/>
    </row>
    <row r="25" ht="15" customHeight="1" spans="2:12">
      <c r="B25" s="37" t="s">
        <v>42</v>
      </c>
      <c r="C25" s="37"/>
      <c r="D25" s="37"/>
      <c r="E25" s="37"/>
      <c r="F25" s="37"/>
      <c r="G25" s="37"/>
      <c r="H25" s="37"/>
      <c r="I25" s="37"/>
      <c r="J25" s="75"/>
      <c r="K25" s="4"/>
      <c r="L25" s="4"/>
    </row>
    <row r="26" ht="12" customHeight="1" spans="2:13">
      <c r="B26" s="38"/>
      <c r="C26" s="38"/>
      <c r="D26" s="38"/>
      <c r="E26" s="38"/>
      <c r="F26" s="38"/>
      <c r="G26" s="38"/>
      <c r="H26" s="38"/>
      <c r="I26" s="38"/>
      <c r="J26" s="76"/>
      <c r="K26" s="4"/>
      <c r="L26" s="4"/>
      <c r="M26"/>
    </row>
    <row r="27" s="2" customFormat="1" ht="20.25" customHeight="1" spans="2:10">
      <c r="B27" s="39" t="s">
        <v>43</v>
      </c>
      <c r="C27" s="40" t="s">
        <v>44</v>
      </c>
      <c r="D27" s="41"/>
      <c r="E27" s="42"/>
      <c r="F27" s="43" t="s">
        <v>45</v>
      </c>
      <c r="G27" s="44" t="s">
        <v>46</v>
      </c>
      <c r="H27" s="45" t="s">
        <v>47</v>
      </c>
      <c r="I27" s="39" t="s">
        <v>48</v>
      </c>
      <c r="J27" s="77" t="s">
        <v>49</v>
      </c>
    </row>
    <row r="28" ht="126" customHeight="1" spans="2:17">
      <c r="B28" s="46">
        <v>1</v>
      </c>
      <c r="C28" s="47" t="s">
        <v>50</v>
      </c>
      <c r="D28" s="48"/>
      <c r="E28" s="49"/>
      <c r="F28" s="50">
        <v>3</v>
      </c>
      <c r="G28" s="51">
        <v>18150</v>
      </c>
      <c r="H28" s="52">
        <f>F28*G28</f>
        <v>54450</v>
      </c>
      <c r="I28" s="78">
        <v>0.18</v>
      </c>
      <c r="J28" s="79">
        <f>(H28*I28)+H28</f>
        <v>64251</v>
      </c>
      <c r="K28" s="4" t="s">
        <v>5</v>
      </c>
      <c r="L28" s="4"/>
      <c r="Q28"/>
    </row>
    <row r="29" ht="33" customHeight="1" spans="2:17">
      <c r="B29" s="46">
        <v>2</v>
      </c>
      <c r="C29" s="47" t="s">
        <v>51</v>
      </c>
      <c r="D29" s="48"/>
      <c r="E29" s="49"/>
      <c r="F29" s="50">
        <v>3</v>
      </c>
      <c r="G29" s="53">
        <v>5500</v>
      </c>
      <c r="H29" s="52">
        <f t="shared" ref="H29:H30" si="0">F29*G29</f>
        <v>16500</v>
      </c>
      <c r="I29" s="78">
        <v>0.18</v>
      </c>
      <c r="J29" s="79">
        <f t="shared" ref="J29:J30" si="1">(H29*I29)+H29</f>
        <v>19470</v>
      </c>
      <c r="K29" s="4"/>
      <c r="L29" s="4"/>
      <c r="Q29"/>
    </row>
    <row r="30" ht="33" customHeight="1" spans="2:17">
      <c r="B30" s="46">
        <v>3</v>
      </c>
      <c r="C30" s="47" t="s">
        <v>52</v>
      </c>
      <c r="D30" s="48"/>
      <c r="E30" s="49"/>
      <c r="F30" s="50">
        <v>3</v>
      </c>
      <c r="G30" s="53">
        <v>8250</v>
      </c>
      <c r="H30" s="52">
        <f t="shared" si="0"/>
        <v>24750</v>
      </c>
      <c r="I30" s="78">
        <v>0.18</v>
      </c>
      <c r="J30" s="79">
        <f t="shared" si="1"/>
        <v>29205</v>
      </c>
      <c r="K30" s="4"/>
      <c r="L30" s="4"/>
      <c r="Q30"/>
    </row>
    <row r="31" ht="15.6" spans="2:17">
      <c r="B31" s="54" t="s">
        <v>53</v>
      </c>
      <c r="C31" s="55"/>
      <c r="D31" s="55"/>
      <c r="E31" s="55"/>
      <c r="F31" s="55"/>
      <c r="G31" s="55"/>
      <c r="H31" s="55"/>
      <c r="I31" s="80"/>
      <c r="J31" s="81">
        <f>J28+J29+J30</f>
        <v>112926</v>
      </c>
      <c r="K31" s="4"/>
      <c r="L31" s="4"/>
      <c r="Q31"/>
    </row>
    <row r="32" ht="64.5" customHeight="1" spans="2:17">
      <c r="B32" s="46">
        <v>1</v>
      </c>
      <c r="C32" s="56" t="s">
        <v>54</v>
      </c>
      <c r="D32" s="56"/>
      <c r="E32" s="56"/>
      <c r="F32" s="50">
        <v>1</v>
      </c>
      <c r="G32" s="50">
        <v>317796.61</v>
      </c>
      <c r="H32" s="50">
        <f>G32*F32</f>
        <v>317796.61</v>
      </c>
      <c r="I32" s="82">
        <v>0.18</v>
      </c>
      <c r="J32" s="83">
        <f>(H32*I32)+H32</f>
        <v>374999.9998</v>
      </c>
      <c r="K32" s="4"/>
      <c r="L32" s="4"/>
      <c r="Q32"/>
    </row>
    <row r="33" ht="95.25" customHeight="1" spans="2:17">
      <c r="B33" s="46">
        <v>2</v>
      </c>
      <c r="C33" s="47" t="s">
        <v>55</v>
      </c>
      <c r="D33" s="48"/>
      <c r="E33" s="49"/>
      <c r="F33" s="50">
        <v>1</v>
      </c>
      <c r="G33" s="50">
        <v>49344.068</v>
      </c>
      <c r="H33" s="50">
        <f t="shared" ref="H33:H38" si="2">G33*F33</f>
        <v>49344.068</v>
      </c>
      <c r="I33" s="82">
        <v>0.18</v>
      </c>
      <c r="J33" s="83">
        <f t="shared" ref="J33:J38" si="3">(H33*I33)+H33</f>
        <v>58226.00024</v>
      </c>
      <c r="K33" s="4"/>
      <c r="L33" s="4"/>
      <c r="Q33"/>
    </row>
    <row r="34" ht="60.75" customHeight="1" spans="2:17">
      <c r="B34" s="46">
        <v>3</v>
      </c>
      <c r="C34" s="47" t="s">
        <v>56</v>
      </c>
      <c r="D34" s="48"/>
      <c r="E34" s="49"/>
      <c r="F34" s="50">
        <v>1</v>
      </c>
      <c r="G34" s="50">
        <v>95555.085</v>
      </c>
      <c r="H34" s="50">
        <f t="shared" si="2"/>
        <v>95555.085</v>
      </c>
      <c r="I34" s="82">
        <v>0.18</v>
      </c>
      <c r="J34" s="83">
        <f t="shared" si="3"/>
        <v>112755.0003</v>
      </c>
      <c r="K34" s="4"/>
      <c r="L34" s="4"/>
      <c r="Q34"/>
    </row>
    <row r="35" ht="56.25" customHeight="1" spans="2:17">
      <c r="B35" s="46">
        <v>4</v>
      </c>
      <c r="C35" s="56" t="s">
        <v>57</v>
      </c>
      <c r="D35" s="56"/>
      <c r="E35" s="56"/>
      <c r="F35" s="50">
        <v>1</v>
      </c>
      <c r="G35" s="50">
        <v>242000</v>
      </c>
      <c r="H35" s="50">
        <f t="shared" si="2"/>
        <v>242000</v>
      </c>
      <c r="I35" s="82">
        <v>0.18</v>
      </c>
      <c r="J35" s="83">
        <f t="shared" si="3"/>
        <v>285560</v>
      </c>
      <c r="K35" s="4"/>
      <c r="L35" s="4"/>
      <c r="Q35"/>
    </row>
    <row r="36" ht="36" customHeight="1" spans="2:17">
      <c r="B36" s="46">
        <v>5</v>
      </c>
      <c r="C36" s="56" t="s">
        <v>58</v>
      </c>
      <c r="D36" s="56"/>
      <c r="E36" s="56"/>
      <c r="F36" s="50">
        <v>1</v>
      </c>
      <c r="G36" s="50">
        <v>55000</v>
      </c>
      <c r="H36" s="50">
        <f t="shared" si="2"/>
        <v>55000</v>
      </c>
      <c r="I36" s="82">
        <v>0.18</v>
      </c>
      <c r="J36" s="83">
        <f t="shared" si="3"/>
        <v>64900</v>
      </c>
      <c r="K36" s="4"/>
      <c r="L36" s="4"/>
      <c r="Q36"/>
    </row>
    <row r="37" ht="25.5" customHeight="1" spans="2:17">
      <c r="B37" s="46">
        <v>6</v>
      </c>
      <c r="C37" s="57" t="s">
        <v>59</v>
      </c>
      <c r="D37" s="58"/>
      <c r="E37" s="59"/>
      <c r="F37" s="50">
        <v>1</v>
      </c>
      <c r="G37" s="50">
        <v>22000</v>
      </c>
      <c r="H37" s="50">
        <f t="shared" si="2"/>
        <v>22000</v>
      </c>
      <c r="I37" s="82">
        <v>0.18</v>
      </c>
      <c r="J37" s="83">
        <f t="shared" si="3"/>
        <v>25960</v>
      </c>
      <c r="K37" s="4"/>
      <c r="L37" s="4"/>
      <c r="Q37"/>
    </row>
    <row r="38" ht="25.5" customHeight="1" spans="2:17">
      <c r="B38" s="46">
        <v>7</v>
      </c>
      <c r="C38" s="56" t="s">
        <v>60</v>
      </c>
      <c r="D38" s="56"/>
      <c r="E38" s="56"/>
      <c r="F38" s="50">
        <v>1</v>
      </c>
      <c r="G38" s="5">
        <v>27500</v>
      </c>
      <c r="H38" s="50">
        <f t="shared" si="2"/>
        <v>27500</v>
      </c>
      <c r="I38" s="82">
        <v>0.18</v>
      </c>
      <c r="J38" s="83">
        <f t="shared" si="3"/>
        <v>32450</v>
      </c>
      <c r="K38" s="4"/>
      <c r="L38" s="4"/>
      <c r="Q38"/>
    </row>
    <row r="39" s="3" customFormat="1" ht="24.75" customHeight="1" spans="2:13">
      <c r="B39" s="60" t="s">
        <v>53</v>
      </c>
      <c r="C39" s="60"/>
      <c r="D39" s="60"/>
      <c r="E39" s="60"/>
      <c r="F39" s="60"/>
      <c r="G39" s="60"/>
      <c r="H39" s="60"/>
      <c r="I39" s="60"/>
      <c r="J39" s="84">
        <f>SUM(J32:J38)</f>
        <v>954851.00034</v>
      </c>
      <c r="M39" s="85"/>
    </row>
    <row r="40" s="3" customFormat="1" ht="24.75" customHeight="1" spans="2:13">
      <c r="B40" s="61" t="s">
        <v>61</v>
      </c>
      <c r="C40" s="61"/>
      <c r="D40" s="61"/>
      <c r="E40" s="61"/>
      <c r="F40" s="61"/>
      <c r="G40" s="61"/>
      <c r="H40" s="61"/>
      <c r="I40" s="61"/>
      <c r="J40" s="86">
        <f>J31+J39</f>
        <v>1067777.00034</v>
      </c>
      <c r="M40" s="85"/>
    </row>
    <row r="41" s="4" customFormat="1" ht="18" spans="2:10">
      <c r="B41" s="62" t="s">
        <v>62</v>
      </c>
      <c r="C41" s="62"/>
      <c r="D41" s="62" t="s">
        <v>63</v>
      </c>
      <c r="E41" s="62" t="s">
        <v>64</v>
      </c>
      <c r="F41" s="62"/>
      <c r="G41" s="62"/>
      <c r="H41" s="63" t="s">
        <v>65</v>
      </c>
      <c r="I41" s="63"/>
      <c r="J41" s="63"/>
    </row>
    <row r="42" ht="15.6" spans="2:10">
      <c r="B42" s="64" t="s">
        <v>66</v>
      </c>
      <c r="C42" s="64"/>
      <c r="D42" s="65" t="s">
        <v>67</v>
      </c>
      <c r="E42" s="66"/>
      <c r="F42" s="66"/>
      <c r="G42" s="66"/>
      <c r="H42" s="63"/>
      <c r="I42" s="63"/>
      <c r="J42" s="63"/>
    </row>
    <row r="43" ht="15.6" spans="2:10">
      <c r="B43" s="64" t="s">
        <v>68</v>
      </c>
      <c r="C43" s="64"/>
      <c r="D43" s="65"/>
      <c r="E43" s="66"/>
      <c r="F43" s="66"/>
      <c r="G43" s="66"/>
      <c r="H43" s="63"/>
      <c r="I43" s="63"/>
      <c r="J43" s="63"/>
    </row>
    <row r="44" ht="15.6" spans="2:10">
      <c r="B44" s="67" t="s">
        <v>69</v>
      </c>
      <c r="C44" s="67"/>
      <c r="D44" s="65"/>
      <c r="E44" s="66"/>
      <c r="F44" s="66"/>
      <c r="G44" s="66"/>
      <c r="H44" s="63"/>
      <c r="I44" s="63"/>
      <c r="J44" s="63"/>
    </row>
    <row r="45" ht="14.25" customHeight="1" spans="2:10">
      <c r="B45" s="64" t="s">
        <v>70</v>
      </c>
      <c r="C45" s="64"/>
      <c r="D45" s="65"/>
      <c r="E45" s="66"/>
      <c r="F45" s="66"/>
      <c r="G45" s="66"/>
      <c r="H45" s="63"/>
      <c r="I45" s="63"/>
      <c r="J45" s="63"/>
    </row>
  </sheetData>
  <mergeCells count="59">
    <mergeCell ref="C1:J1"/>
    <mergeCell ref="B2:J2"/>
    <mergeCell ref="C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C27:E27"/>
    <mergeCell ref="C28:E28"/>
    <mergeCell ref="C29:E29"/>
    <mergeCell ref="C30:E30"/>
    <mergeCell ref="B31:I31"/>
    <mergeCell ref="C32:E32"/>
    <mergeCell ref="C33:E33"/>
    <mergeCell ref="C34:E34"/>
    <mergeCell ref="C35:E35"/>
    <mergeCell ref="C36:E36"/>
    <mergeCell ref="C37:E37"/>
    <mergeCell ref="C38:E38"/>
    <mergeCell ref="B39:I39"/>
    <mergeCell ref="B40:I40"/>
    <mergeCell ref="B41:C41"/>
    <mergeCell ref="E41:G41"/>
    <mergeCell ref="B42:C42"/>
    <mergeCell ref="E42:G42"/>
    <mergeCell ref="B43:C43"/>
    <mergeCell ref="E43:G43"/>
    <mergeCell ref="B44:C44"/>
    <mergeCell ref="E44:G44"/>
    <mergeCell ref="B45:C45"/>
    <mergeCell ref="E45:G45"/>
    <mergeCell ref="H41:J45"/>
    <mergeCell ref="D5:J7"/>
    <mergeCell ref="B5:C7"/>
    <mergeCell ref="B25:J26"/>
  </mergeCells>
  <hyperlinks>
    <hyperlink ref="J14" r:id="rId1" display="pao1.hhrc.cdg@gembuyer.in"/>
  </hyperlinks>
  <pageMargins left="0.25" right="0.25" top="0.25" bottom="0.25" header="0.56496063" footer="0.31496062992126"/>
  <pageSetup paperSize="9" scale="7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2025-10-04T04:56:09Z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0F943972EA2D4941B476093534E82E34_13</vt:lpwstr>
  </property>
  <property fmtid="{D5CDD505-2E9C-101B-9397-08002B2CF9AE}" pid="3" name="KSOProductBuildVer">
    <vt:lpwstr>1033-12.2.0.22549</vt:lpwstr>
  </property>
</Properties>
</file>