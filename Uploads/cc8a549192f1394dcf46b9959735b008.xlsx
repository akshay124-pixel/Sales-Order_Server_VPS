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82554ED-3992-4273-BF6C-5C22212D799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TD " sheetId="4" r:id="rId1"/>
  </sheets>
  <definedNames>
    <definedName name="_xlnm.Print_Area" localSheetId="0">'OTD '!$C$1:$J$37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4" l="1"/>
  <c r="J29" i="4"/>
  <c r="H29" i="4"/>
  <c r="H28" i="4"/>
  <c r="J28" i="4" s="1"/>
</calcChain>
</file>

<file path=xl/sharedStrings.xml><?xml version="1.0" encoding="utf-8"?>
<sst xmlns="http://schemas.openxmlformats.org/spreadsheetml/2006/main" count="71" uniqueCount="67">
  <si>
    <t xml:space="preserve">PAYMENT AND DELIVERY TERMS </t>
  </si>
  <si>
    <t xml:space="preserve">ENCLOSURES </t>
  </si>
  <si>
    <t xml:space="preserve">PURCHASE ORDER </t>
  </si>
  <si>
    <t>SPECIAL PRICE APPROVAL</t>
  </si>
  <si>
    <t>ANY OTHER DOCUMENT</t>
  </si>
  <si>
    <t>Advance Amount Received (if any)</t>
  </si>
  <si>
    <t xml:space="preserve">Qty </t>
  </si>
  <si>
    <t>Model and Configuration</t>
  </si>
  <si>
    <t xml:space="preserve">Unit Price </t>
  </si>
  <si>
    <t xml:space="preserve">Total </t>
  </si>
  <si>
    <t xml:space="preserve">Customer Type </t>
  </si>
  <si>
    <t xml:space="preserve"> </t>
  </si>
  <si>
    <t>SALES ORDER FORM</t>
  </si>
  <si>
    <t xml:space="preserve">SO No. </t>
  </si>
  <si>
    <t xml:space="preserve">BILL OF MATERIAL INSTRUCTION </t>
  </si>
  <si>
    <t>Yes/No</t>
  </si>
  <si>
    <t>Remarks</t>
  </si>
  <si>
    <t>TAX EXEMPTION CERTIFICATE</t>
  </si>
  <si>
    <t xml:space="preserve">Order Picking Branch Name  </t>
  </si>
  <si>
    <t xml:space="preserve">Signature </t>
  </si>
  <si>
    <t xml:space="preserve">AMOUNT </t>
  </si>
  <si>
    <t xml:space="preserve">GSTIN No  </t>
  </si>
  <si>
    <t>Name of the Sales Person</t>
  </si>
  <si>
    <t xml:space="preserve">SO Date  </t>
  </si>
  <si>
    <t xml:space="preserve">Payment Terms </t>
  </si>
  <si>
    <t xml:space="preserve">Freight/Delivery Charges </t>
  </si>
  <si>
    <t>Warranty</t>
  </si>
  <si>
    <t xml:space="preserve">Installation and Training Charges </t>
  </si>
  <si>
    <t xml:space="preserve">Delivery  Date                                                                              </t>
  </si>
  <si>
    <t xml:space="preserve">TOTAL AMOUNT INCLUDING GST </t>
  </si>
  <si>
    <t xml:space="preserve">Dealer's Name </t>
  </si>
  <si>
    <t>Dealer's Commission Amount</t>
  </si>
  <si>
    <t>Reporting Manager Name</t>
  </si>
  <si>
    <r>
      <t>Contact Person Name/Designation</t>
    </r>
    <r>
      <rPr>
        <b/>
        <i/>
        <sz val="12"/>
        <color rgb="FFFF0000"/>
        <rFont val="Calibri"/>
        <family val="2"/>
        <scheme val="minor"/>
      </rPr>
      <t>*</t>
    </r>
  </si>
  <si>
    <r>
      <t>Contact No.</t>
    </r>
    <r>
      <rPr>
        <b/>
        <i/>
        <sz val="12"/>
        <color rgb="FFFF0000"/>
        <rFont val="Calibri"/>
        <family val="2"/>
        <scheme val="minor"/>
      </rPr>
      <t>*</t>
    </r>
  </si>
  <si>
    <r>
      <t>Mail ID of Partner /Customer</t>
    </r>
    <r>
      <rPr>
        <i/>
        <sz val="12"/>
        <color rgb="FFFF0000"/>
        <rFont val="Calibri"/>
        <family val="2"/>
        <scheme val="minor"/>
      </rPr>
      <t>*</t>
    </r>
  </si>
  <si>
    <t>Billing Company ( Please Tick Appropriate Firm )</t>
  </si>
  <si>
    <t xml:space="preserve">Customer's /Partner Company Name </t>
  </si>
  <si>
    <t>Customer's/Partners's  Billing Address</t>
  </si>
  <si>
    <t xml:space="preserve">Customer's /Partner's Shipping Address </t>
  </si>
  <si>
    <t>PMTS GROUP COMPANY BILLING FIRM</t>
  </si>
  <si>
    <t>Mohali</t>
  </si>
  <si>
    <t xml:space="preserve">included </t>
  </si>
  <si>
    <t xml:space="preserve">Private Institute </t>
  </si>
  <si>
    <t xml:space="preserve">YES </t>
  </si>
  <si>
    <t>N/A</t>
  </si>
  <si>
    <t xml:space="preserve">Mrs. Surbhi Chugh </t>
  </si>
  <si>
    <t>Picture</t>
  </si>
  <si>
    <t>S.No</t>
  </si>
  <si>
    <r>
      <rPr>
        <b/>
        <i/>
        <sz val="16"/>
        <color theme="1"/>
        <rFont val="Calibri"/>
        <family val="2"/>
        <scheme val="minor"/>
      </rPr>
      <t xml:space="preserve">CUSTOMER DETAILS </t>
    </r>
    <r>
      <rPr>
        <i/>
        <sz val="16"/>
        <color theme="1"/>
        <rFont val="Calibri"/>
        <family val="2"/>
        <scheme val="minor"/>
      </rPr>
      <t xml:space="preserve"> </t>
    </r>
  </si>
  <si>
    <t xml:space="preserve">50% advance and 50% at the time of delivery and Installation </t>
  </si>
  <si>
    <t xml:space="preserve">3 years </t>
  </si>
  <si>
    <t xml:space="preserve">PROMARK TECHSOLUTIONS PRIVATE LIMITED                                                                                                   </t>
  </si>
  <si>
    <t xml:space="preserve">GST </t>
  </si>
  <si>
    <t xml:space="preserve">Installation </t>
  </si>
  <si>
    <t xml:space="preserve">Freight </t>
  </si>
  <si>
    <t>Surya Infosys, D.S.P Rd, near Bunty Printers, Bhima Basti, Fatehabad, Haryana 125050</t>
  </si>
  <si>
    <t>Surya Infosys,  Fatehabad</t>
  </si>
  <si>
    <t>surya.fatehabad@gmail.com</t>
  </si>
  <si>
    <t>92152 60286</t>
  </si>
  <si>
    <t xml:space="preserve">Surya Infosys, Fatehabad </t>
  </si>
  <si>
    <t>06AQGPA3313C1ZQ</t>
  </si>
  <si>
    <t>Shree Ram Nath Education &amp; Welfare Society Tohana Fatehabad, Haryana 125120</t>
  </si>
  <si>
    <t xml:space="preserve">Mr. Sidhant </t>
  </si>
  <si>
    <r>
      <t xml:space="preserve">Proamrk Interactive Flat Panel Display </t>
    </r>
    <r>
      <rPr>
        <sz val="12"/>
        <color theme="1"/>
        <rFont val="Calibri"/>
        <family val="2"/>
        <scheme val="minor"/>
      </rPr>
      <t xml:space="preserve"> Android 14 (65 inches) RAM 8GB, ROM 128 GB 4k Panel</t>
    </r>
  </si>
  <si>
    <t>NA</t>
  </si>
  <si>
    <t xml:space="preserve">Promark Floor Stand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</si>
</sst>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i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2" fontId="2" fillId="2" borderId="1" xfId="0" applyNumberFormat="1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16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/>
    <xf numFmtId="0" fontId="6" fillId="2" borderId="1" xfId="0" applyFont="1" applyFill="1" applyBorder="1" applyAlignment="1">
      <alignment horizontal="center" vertical="center"/>
    </xf>
    <xf numFmtId="0" fontId="14" fillId="0" borderId="1" xfId="1" applyBorder="1" applyAlignment="1" applyProtection="1">
      <alignment horizontal="center" vertical="top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" fontId="2" fillId="0" borderId="3" xfId="0" quotePrefix="1" applyNumberFormat="1" applyFont="1" applyBorder="1" applyAlignment="1">
      <alignment horizontal="center" vertical="center" wrapText="1"/>
    </xf>
    <xf numFmtId="1" fontId="2" fillId="0" borderId="4" xfId="0" quotePrefix="1" applyNumberFormat="1" applyFont="1" applyBorder="1" applyAlignment="1">
      <alignment horizontal="center" vertical="center" wrapText="1"/>
    </xf>
    <xf numFmtId="1" fontId="2" fillId="0" borderId="7" xfId="0" quotePrefix="1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 wrapText="1"/>
    </xf>
    <xf numFmtId="2" fontId="2" fillId="2" borderId="13" xfId="0" applyNumberFormat="1" applyFont="1" applyFill="1" applyBorder="1" applyAlignment="1">
      <alignment horizontal="center" vertical="center" wrapText="1"/>
    </xf>
    <xf numFmtId="9" fontId="10" fillId="2" borderId="13" xfId="0" applyNumberFormat="1" applyFont="1" applyFill="1" applyBorder="1" applyAlignment="1">
      <alignment horizontal="center" vertical="center"/>
    </xf>
    <xf numFmtId="1" fontId="10" fillId="2" borderId="16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left" vertical="center" wrapText="1"/>
    </xf>
    <xf numFmtId="0" fontId="18" fillId="2" borderId="18" xfId="0" applyFont="1" applyFill="1" applyBorder="1" applyAlignment="1">
      <alignment horizontal="left" vertical="center" wrapText="1"/>
    </xf>
    <xf numFmtId="0" fontId="18" fillId="2" borderId="19" xfId="0" applyFont="1" applyFill="1" applyBorder="1" applyAlignment="1">
      <alignment horizontal="left" vertical="center" wrapText="1"/>
    </xf>
    <xf numFmtId="1" fontId="10" fillId="2" borderId="20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27</xdr:row>
      <xdr:rowOff>85725</xdr:rowOff>
    </xdr:from>
    <xdr:to>
      <xdr:col>4</xdr:col>
      <xdr:colOff>552449</xdr:colOff>
      <xdr:row>27</xdr:row>
      <xdr:rowOff>706366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8A07E1-012F-479C-8B78-D0AA19B8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6734175"/>
          <a:ext cx="1133474" cy="620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276225</xdr:colOff>
      <xdr:row>28</xdr:row>
      <xdr:rowOff>28575</xdr:rowOff>
    </xdr:from>
    <xdr:to>
      <xdr:col>4</xdr:col>
      <xdr:colOff>79645</xdr:colOff>
      <xdr:row>28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8F5A1-E392-597E-A899-5E38A1DB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467600"/>
          <a:ext cx="43207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ya.fatehab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7"/>
  <sheetViews>
    <sheetView tabSelected="1" topLeftCell="A20" workbookViewId="0">
      <selection activeCell="C28" sqref="C28"/>
    </sheetView>
  </sheetViews>
  <sheetFormatPr defaultColWidth="9.140625" defaultRowHeight="15" x14ac:dyDescent="0.25"/>
  <cols>
    <col min="1" max="1" width="1.140625" style="2" customWidth="1"/>
    <col min="2" max="2" width="5.42578125" style="2" customWidth="1"/>
    <col min="3" max="3" width="40.85546875" style="2" customWidth="1"/>
    <col min="4" max="4" width="9.42578125" style="2" customWidth="1"/>
    <col min="5" max="5" width="9" style="2" customWidth="1"/>
    <col min="6" max="6" width="6.28515625" style="2" customWidth="1"/>
    <col min="7" max="7" width="11.85546875" style="2" customWidth="1"/>
    <col min="8" max="8" width="12.42578125" style="2" customWidth="1"/>
    <col min="9" max="9" width="11.42578125" style="2" customWidth="1"/>
    <col min="10" max="10" width="13.28515625" style="2" customWidth="1"/>
    <col min="11" max="55" width="5.7109375" style="2" customWidth="1"/>
    <col min="56" max="16384" width="9.140625" style="2"/>
  </cols>
  <sheetData>
    <row r="1" spans="2:12" ht="5.25" customHeight="1" x14ac:dyDescent="0.25">
      <c r="C1" s="46"/>
      <c r="D1" s="46"/>
      <c r="E1" s="46"/>
      <c r="F1" s="46"/>
      <c r="G1" s="46"/>
      <c r="H1" s="46"/>
      <c r="I1" s="46"/>
      <c r="J1" s="46"/>
      <c r="K1" s="1"/>
      <c r="L1" s="1"/>
    </row>
    <row r="2" spans="2:12" ht="20.25" customHeight="1" x14ac:dyDescent="0.25">
      <c r="B2" s="68" t="s">
        <v>12</v>
      </c>
      <c r="C2" s="68"/>
      <c r="D2" s="68"/>
      <c r="E2" s="68"/>
      <c r="F2" s="68"/>
      <c r="G2" s="68"/>
      <c r="H2" s="68"/>
      <c r="I2" s="68"/>
      <c r="J2" s="68"/>
      <c r="K2" s="1"/>
      <c r="L2" s="1"/>
    </row>
    <row r="3" spans="2:12" ht="17.25" customHeight="1" x14ac:dyDescent="0.25">
      <c r="B3" s="48" t="s">
        <v>13</v>
      </c>
      <c r="C3" s="48"/>
      <c r="D3" s="48"/>
      <c r="E3" s="53"/>
      <c r="F3" s="54"/>
      <c r="G3" s="3" t="s">
        <v>23</v>
      </c>
      <c r="H3" s="52">
        <v>46008</v>
      </c>
      <c r="I3" s="48"/>
      <c r="J3" s="48"/>
      <c r="K3" s="1"/>
      <c r="L3" s="1"/>
    </row>
    <row r="4" spans="2:12" ht="19.5" customHeight="1" x14ac:dyDescent="0.25">
      <c r="B4" s="69" t="s">
        <v>40</v>
      </c>
      <c r="C4" s="69"/>
      <c r="D4" s="69"/>
      <c r="E4" s="69"/>
      <c r="F4" s="69"/>
      <c r="G4" s="69"/>
      <c r="H4" s="69"/>
      <c r="I4" s="69"/>
      <c r="J4" s="69"/>
      <c r="K4" s="1"/>
      <c r="L4" s="1" t="s">
        <v>11</v>
      </c>
    </row>
    <row r="5" spans="2:12" ht="13.5" customHeight="1" x14ac:dyDescent="0.25">
      <c r="B5" s="70" t="s">
        <v>36</v>
      </c>
      <c r="C5" s="70"/>
      <c r="D5" s="72" t="s">
        <v>52</v>
      </c>
      <c r="E5" s="72"/>
      <c r="F5" s="72"/>
      <c r="G5" s="72"/>
      <c r="H5" s="72"/>
      <c r="I5" s="72"/>
      <c r="J5" s="72"/>
      <c r="K5" s="1"/>
      <c r="L5" s="1"/>
    </row>
    <row r="6" spans="2:12" ht="8.25" customHeight="1" x14ac:dyDescent="0.25">
      <c r="B6" s="70"/>
      <c r="C6" s="70"/>
      <c r="D6" s="72"/>
      <c r="E6" s="72"/>
      <c r="F6" s="72"/>
      <c r="G6" s="72"/>
      <c r="H6" s="72"/>
      <c r="I6" s="72"/>
      <c r="J6" s="72"/>
      <c r="K6" s="1"/>
      <c r="L6" s="1"/>
    </row>
    <row r="7" spans="2:12" ht="11.25" customHeight="1" x14ac:dyDescent="0.25">
      <c r="B7" s="70"/>
      <c r="C7" s="70"/>
      <c r="D7" s="72"/>
      <c r="E7" s="72"/>
      <c r="F7" s="72"/>
      <c r="G7" s="72"/>
      <c r="H7" s="72"/>
      <c r="I7" s="72"/>
      <c r="J7" s="72"/>
      <c r="K7" s="1"/>
      <c r="L7" s="1"/>
    </row>
    <row r="8" spans="2:12" ht="24.6" customHeight="1" x14ac:dyDescent="0.25">
      <c r="B8" s="71" t="s">
        <v>49</v>
      </c>
      <c r="C8" s="71"/>
      <c r="D8" s="71"/>
      <c r="E8" s="71"/>
      <c r="F8" s="71"/>
      <c r="G8" s="71"/>
      <c r="H8" s="71"/>
      <c r="I8" s="71"/>
      <c r="J8" s="71"/>
      <c r="K8" s="1"/>
      <c r="L8" s="1"/>
    </row>
    <row r="9" spans="2:12" ht="21" customHeight="1" x14ac:dyDescent="0.25">
      <c r="B9" s="4" t="s">
        <v>37</v>
      </c>
      <c r="C9" s="4"/>
      <c r="D9" s="47" t="s">
        <v>57</v>
      </c>
      <c r="E9" s="48"/>
      <c r="F9" s="48"/>
      <c r="G9" s="48"/>
      <c r="H9" s="48"/>
      <c r="I9" s="48"/>
      <c r="J9" s="48"/>
      <c r="K9" s="1"/>
      <c r="L9" s="1" t="s">
        <v>11</v>
      </c>
    </row>
    <row r="10" spans="2:12" ht="32.25" customHeight="1" x14ac:dyDescent="0.25">
      <c r="B10" s="4" t="s">
        <v>38</v>
      </c>
      <c r="C10" s="4"/>
      <c r="D10" s="47" t="s">
        <v>56</v>
      </c>
      <c r="E10" s="47"/>
      <c r="F10" s="47"/>
      <c r="G10" s="47"/>
      <c r="H10" s="47"/>
      <c r="I10" s="47"/>
      <c r="J10" s="47"/>
      <c r="K10" s="1"/>
      <c r="L10" s="1"/>
    </row>
    <row r="11" spans="2:12" ht="32.25" customHeight="1" x14ac:dyDescent="0.25">
      <c r="B11" s="35" t="s">
        <v>39</v>
      </c>
      <c r="C11" s="36"/>
      <c r="D11" s="47" t="s">
        <v>62</v>
      </c>
      <c r="E11" s="47"/>
      <c r="F11" s="47"/>
      <c r="G11" s="47"/>
      <c r="H11" s="47"/>
      <c r="I11" s="47"/>
      <c r="J11" s="47"/>
      <c r="K11" s="1"/>
      <c r="L11" s="1"/>
    </row>
    <row r="12" spans="2:12" ht="28.5" customHeight="1" x14ac:dyDescent="0.25">
      <c r="B12" s="12" t="s">
        <v>21</v>
      </c>
      <c r="C12" s="13"/>
      <c r="D12" s="63" t="s">
        <v>61</v>
      </c>
      <c r="E12" s="64"/>
      <c r="F12" s="64"/>
      <c r="G12" s="65"/>
      <c r="H12" s="58" t="s">
        <v>31</v>
      </c>
      <c r="I12" s="59"/>
      <c r="J12" s="16" t="s">
        <v>45</v>
      </c>
      <c r="K12" s="1"/>
      <c r="L12" s="1"/>
    </row>
    <row r="13" spans="2:12" ht="25.5" customHeight="1" x14ac:dyDescent="0.25">
      <c r="B13" s="4" t="s">
        <v>33</v>
      </c>
      <c r="C13" s="4"/>
      <c r="D13" s="55" t="s">
        <v>60</v>
      </c>
      <c r="E13" s="56"/>
      <c r="F13" s="56"/>
      <c r="G13" s="57"/>
      <c r="H13" s="58" t="s">
        <v>30</v>
      </c>
      <c r="I13" s="59"/>
      <c r="J13" s="16" t="s">
        <v>45</v>
      </c>
      <c r="K13" s="1"/>
      <c r="L13" s="1"/>
    </row>
    <row r="14" spans="2:12" ht="30.75" customHeight="1" x14ac:dyDescent="0.25">
      <c r="B14" s="4" t="s">
        <v>34</v>
      </c>
      <c r="C14" s="4"/>
      <c r="D14" s="60" t="s">
        <v>59</v>
      </c>
      <c r="E14" s="61"/>
      <c r="F14" s="61"/>
      <c r="G14" s="62"/>
      <c r="H14" s="58" t="s">
        <v>35</v>
      </c>
      <c r="I14" s="59"/>
      <c r="J14" s="28" t="s">
        <v>58</v>
      </c>
      <c r="K14" s="1"/>
      <c r="L14" s="1"/>
    </row>
    <row r="15" spans="2:12" ht="22.5" customHeight="1" x14ac:dyDescent="0.25">
      <c r="B15" s="35" t="s">
        <v>18</v>
      </c>
      <c r="C15" s="36"/>
      <c r="D15" s="49" t="s">
        <v>41</v>
      </c>
      <c r="E15" s="50"/>
      <c r="F15" s="50"/>
      <c r="G15" s="51"/>
      <c r="H15" s="32" t="s">
        <v>10</v>
      </c>
      <c r="I15" s="33"/>
      <c r="J15" s="34"/>
      <c r="K15" s="1"/>
      <c r="L15" s="1"/>
    </row>
    <row r="16" spans="2:12" ht="21.75" customHeight="1" x14ac:dyDescent="0.25">
      <c r="B16" s="35" t="s">
        <v>22</v>
      </c>
      <c r="C16" s="36"/>
      <c r="D16" s="49" t="s">
        <v>63</v>
      </c>
      <c r="E16" s="50"/>
      <c r="F16" s="50"/>
      <c r="G16" s="51"/>
      <c r="H16" s="58"/>
      <c r="I16" s="59"/>
      <c r="J16" s="11"/>
      <c r="K16" s="1"/>
      <c r="L16" s="1"/>
    </row>
    <row r="17" spans="2:17" ht="21.75" customHeight="1" x14ac:dyDescent="0.25">
      <c r="B17" s="35" t="s">
        <v>32</v>
      </c>
      <c r="C17" s="36"/>
      <c r="D17" s="49" t="s">
        <v>46</v>
      </c>
      <c r="E17" s="50"/>
      <c r="F17" s="50"/>
      <c r="G17" s="51"/>
      <c r="H17" s="58" t="s">
        <v>43</v>
      </c>
      <c r="I17" s="59"/>
      <c r="J17" s="11"/>
      <c r="K17" s="1"/>
      <c r="L17" s="1"/>
    </row>
    <row r="18" spans="2:17" s="6" customFormat="1" ht="21.75" customHeight="1" x14ac:dyDescent="0.35">
      <c r="B18" s="78" t="s">
        <v>0</v>
      </c>
      <c r="C18" s="78"/>
      <c r="D18" s="78"/>
      <c r="E18" s="78"/>
      <c r="F18" s="78"/>
      <c r="G18" s="78"/>
      <c r="H18" s="78"/>
      <c r="I18" s="78"/>
      <c r="J18" s="78"/>
      <c r="K18" s="5"/>
      <c r="L18" s="5"/>
      <c r="M18"/>
    </row>
    <row r="19" spans="2:17" ht="16.5" customHeight="1" x14ac:dyDescent="0.25">
      <c r="B19" s="14" t="s">
        <v>24</v>
      </c>
      <c r="C19" s="14"/>
      <c r="D19" s="45" t="s">
        <v>50</v>
      </c>
      <c r="E19" s="45"/>
      <c r="F19" s="45"/>
      <c r="G19" s="45"/>
      <c r="H19" s="45"/>
      <c r="I19" s="45"/>
      <c r="J19" s="45"/>
      <c r="K19" s="1"/>
      <c r="L19" s="1"/>
    </row>
    <row r="20" spans="2:17" ht="16.5" customHeight="1" x14ac:dyDescent="0.25">
      <c r="B20" s="14" t="s">
        <v>25</v>
      </c>
      <c r="C20" s="14"/>
      <c r="D20" s="45" t="s">
        <v>42</v>
      </c>
      <c r="E20" s="45"/>
      <c r="F20" s="45"/>
      <c r="G20" s="45"/>
      <c r="H20" s="45"/>
      <c r="I20" s="45"/>
      <c r="J20" s="45"/>
      <c r="K20" s="1"/>
      <c r="L20" s="1"/>
    </row>
    <row r="21" spans="2:17" ht="16.5" customHeight="1" x14ac:dyDescent="0.25">
      <c r="B21" s="14" t="s">
        <v>26</v>
      </c>
      <c r="C21" s="14"/>
      <c r="D21" s="45" t="s">
        <v>51</v>
      </c>
      <c r="E21" s="45"/>
      <c r="F21" s="45"/>
      <c r="G21" s="45"/>
      <c r="H21" s="45"/>
      <c r="I21" s="45"/>
      <c r="J21" s="45"/>
      <c r="K21" s="1"/>
      <c r="L21"/>
    </row>
    <row r="22" spans="2:17" ht="16.5" customHeight="1" x14ac:dyDescent="0.25">
      <c r="B22" s="14" t="s">
        <v>27</v>
      </c>
      <c r="C22" s="14"/>
      <c r="D22" s="45" t="s">
        <v>42</v>
      </c>
      <c r="E22" s="45"/>
      <c r="F22" s="45"/>
      <c r="G22" s="45"/>
      <c r="H22" s="45"/>
      <c r="I22" s="45"/>
      <c r="J22" s="45"/>
      <c r="K22" s="1"/>
      <c r="L22" s="1"/>
    </row>
    <row r="23" spans="2:17" ht="16.5" customHeight="1" x14ac:dyDescent="0.25">
      <c r="B23" s="73" t="s">
        <v>5</v>
      </c>
      <c r="C23" s="73"/>
      <c r="D23" s="79" t="s">
        <v>65</v>
      </c>
      <c r="E23" s="45"/>
      <c r="F23" s="45"/>
      <c r="G23" s="45"/>
      <c r="H23" s="45"/>
      <c r="I23" s="45"/>
      <c r="J23" s="45"/>
      <c r="K23" s="1"/>
      <c r="L23" s="1"/>
    </row>
    <row r="24" spans="2:17" ht="16.5" customHeight="1" x14ac:dyDescent="0.25">
      <c r="B24" s="12" t="s">
        <v>28</v>
      </c>
      <c r="C24" s="13"/>
      <c r="D24" s="43">
        <v>46013</v>
      </c>
      <c r="E24" s="44"/>
      <c r="F24" s="44"/>
      <c r="G24" s="44"/>
      <c r="H24" s="44"/>
      <c r="I24" s="44"/>
      <c r="J24" s="44"/>
      <c r="K24" s="1"/>
      <c r="L24" s="1"/>
      <c r="O24"/>
    </row>
    <row r="25" spans="2:17" ht="15" customHeight="1" x14ac:dyDescent="0.25">
      <c r="B25" s="74" t="s">
        <v>14</v>
      </c>
      <c r="C25" s="74"/>
      <c r="D25" s="74"/>
      <c r="E25" s="74"/>
      <c r="F25" s="74"/>
      <c r="G25" s="74"/>
      <c r="H25" s="74"/>
      <c r="I25" s="74"/>
      <c r="J25" s="75"/>
      <c r="K25" s="1"/>
      <c r="L25" s="1"/>
    </row>
    <row r="26" spans="2:17" ht="12" customHeight="1" thickBot="1" x14ac:dyDescent="0.3">
      <c r="B26" s="76"/>
      <c r="C26" s="76"/>
      <c r="D26" s="76"/>
      <c r="E26" s="76"/>
      <c r="F26" s="76"/>
      <c r="G26" s="76"/>
      <c r="H26" s="76"/>
      <c r="I26" s="76"/>
      <c r="J26" s="77"/>
      <c r="K26" s="1"/>
      <c r="L26" s="1"/>
      <c r="M26"/>
    </row>
    <row r="27" spans="2:17" s="23" customFormat="1" ht="20.25" customHeight="1" x14ac:dyDescent="0.25">
      <c r="B27" s="18" t="s">
        <v>48</v>
      </c>
      <c r="C27" s="18" t="s">
        <v>7</v>
      </c>
      <c r="D27" s="66" t="s">
        <v>47</v>
      </c>
      <c r="E27" s="67"/>
      <c r="F27" s="19" t="s">
        <v>6</v>
      </c>
      <c r="G27" s="20" t="s">
        <v>8</v>
      </c>
      <c r="H27" s="21" t="s">
        <v>9</v>
      </c>
      <c r="I27" s="18" t="s">
        <v>53</v>
      </c>
      <c r="J27" s="22" t="s">
        <v>20</v>
      </c>
    </row>
    <row r="28" spans="2:17" ht="62.25" customHeight="1" x14ac:dyDescent="0.25">
      <c r="B28" s="93">
        <v>1</v>
      </c>
      <c r="C28" s="80" t="s">
        <v>64</v>
      </c>
      <c r="D28" s="81"/>
      <c r="E28" s="82"/>
      <c r="F28" s="83">
        <v>2</v>
      </c>
      <c r="G28" s="84">
        <v>55084.745000000003</v>
      </c>
      <c r="H28" s="85">
        <f>F28*G28</f>
        <v>110169.49</v>
      </c>
      <c r="I28" s="86">
        <v>0.18</v>
      </c>
      <c r="J28" s="87">
        <f>(H28*I28)+H28</f>
        <v>129999.9982</v>
      </c>
      <c r="K28" s="1" t="s">
        <v>11</v>
      </c>
      <c r="L28" s="1"/>
      <c r="Q28"/>
    </row>
    <row r="29" spans="2:17" ht="66" customHeight="1" x14ac:dyDescent="0.25">
      <c r="B29" s="15">
        <v>2</v>
      </c>
      <c r="C29" s="96" t="s">
        <v>66</v>
      </c>
      <c r="D29" s="92"/>
      <c r="E29" s="57"/>
      <c r="F29" s="15">
        <v>2</v>
      </c>
      <c r="G29" s="15">
        <v>7118.6440000000002</v>
      </c>
      <c r="H29" s="7">
        <f>F29*G29</f>
        <v>14237.288</v>
      </c>
      <c r="I29" s="8">
        <v>0.18</v>
      </c>
      <c r="J29" s="95">
        <f>(H29*I29)+H29</f>
        <v>16799.99984</v>
      </c>
      <c r="K29" s="1"/>
      <c r="L29"/>
      <c r="Q29"/>
    </row>
    <row r="30" spans="2:17" ht="15.75" x14ac:dyDescent="0.25">
      <c r="B30" s="94">
        <v>3</v>
      </c>
      <c r="C30" s="88" t="s">
        <v>54</v>
      </c>
      <c r="D30" s="89"/>
      <c r="E30" s="89"/>
      <c r="F30" s="89"/>
      <c r="G30" s="89"/>
      <c r="H30" s="89"/>
      <c r="I30" s="90"/>
      <c r="J30" s="91">
        <v>2000</v>
      </c>
      <c r="K30" s="1"/>
      <c r="L30" s="1"/>
      <c r="Q30"/>
    </row>
    <row r="31" spans="2:17" ht="15.75" x14ac:dyDescent="0.25">
      <c r="B31" s="15">
        <v>4</v>
      </c>
      <c r="C31" s="29" t="s">
        <v>55</v>
      </c>
      <c r="D31" s="30"/>
      <c r="E31" s="30"/>
      <c r="F31" s="30"/>
      <c r="G31" s="30"/>
      <c r="H31" s="30"/>
      <c r="I31" s="31"/>
      <c r="J31" s="17">
        <v>3000</v>
      </c>
      <c r="K31" s="1"/>
      <c r="L31" s="1"/>
      <c r="Q31"/>
    </row>
    <row r="32" spans="2:17" s="25" customFormat="1" ht="21.75" customHeight="1" x14ac:dyDescent="0.3">
      <c r="B32" s="38" t="s">
        <v>29</v>
      </c>
      <c r="C32" s="38"/>
      <c r="D32" s="38"/>
      <c r="E32" s="38"/>
      <c r="F32" s="38"/>
      <c r="G32" s="38"/>
      <c r="H32" s="38"/>
      <c r="I32" s="38"/>
      <c r="J32" s="24">
        <f>J28+J30+J31+J29</f>
        <v>151799.99804000001</v>
      </c>
      <c r="M32" s="26"/>
    </row>
    <row r="33" spans="2:10" s="1" customFormat="1" ht="18.75" x14ac:dyDescent="0.25">
      <c r="B33" s="39" t="s">
        <v>1</v>
      </c>
      <c r="C33" s="39"/>
      <c r="D33" s="9" t="s">
        <v>15</v>
      </c>
      <c r="E33" s="39" t="s">
        <v>16</v>
      </c>
      <c r="F33" s="39"/>
      <c r="G33" s="39"/>
      <c r="H33" s="41" t="s">
        <v>19</v>
      </c>
      <c r="I33" s="41"/>
      <c r="J33" s="41"/>
    </row>
    <row r="34" spans="2:10" ht="15.75" x14ac:dyDescent="0.25">
      <c r="B34" s="37" t="s">
        <v>2</v>
      </c>
      <c r="C34" s="37"/>
      <c r="D34" s="27" t="s">
        <v>44</v>
      </c>
      <c r="E34" s="42"/>
      <c r="F34" s="42"/>
      <c r="G34" s="42"/>
      <c r="H34" s="41"/>
      <c r="I34" s="41"/>
      <c r="J34" s="41"/>
    </row>
    <row r="35" spans="2:10" ht="15.75" x14ac:dyDescent="0.25">
      <c r="B35" s="37" t="s">
        <v>3</v>
      </c>
      <c r="C35" s="37"/>
      <c r="D35" s="10"/>
      <c r="E35" s="42"/>
      <c r="F35" s="42"/>
      <c r="G35" s="42"/>
      <c r="H35" s="41"/>
      <c r="I35" s="41"/>
      <c r="J35" s="41"/>
    </row>
    <row r="36" spans="2:10" ht="15.75" x14ac:dyDescent="0.25">
      <c r="B36" s="40" t="s">
        <v>17</v>
      </c>
      <c r="C36" s="40"/>
      <c r="D36" s="10"/>
      <c r="E36" s="42"/>
      <c r="F36" s="42"/>
      <c r="G36" s="42"/>
      <c r="H36" s="41"/>
      <c r="I36" s="41"/>
      <c r="J36" s="41"/>
    </row>
    <row r="37" spans="2:10" ht="14.25" customHeight="1" x14ac:dyDescent="0.25">
      <c r="B37" s="37" t="s">
        <v>4</v>
      </c>
      <c r="C37" s="37"/>
      <c r="D37" s="10"/>
      <c r="E37" s="42"/>
      <c r="F37" s="42"/>
      <c r="G37" s="42"/>
      <c r="H37" s="41"/>
      <c r="I37" s="41"/>
      <c r="J37" s="41"/>
    </row>
  </sheetData>
  <mergeCells count="54">
    <mergeCell ref="D29:E29"/>
    <mergeCell ref="D28:E28"/>
    <mergeCell ref="D27:E27"/>
    <mergeCell ref="B2:J2"/>
    <mergeCell ref="B3:C3"/>
    <mergeCell ref="B4:J4"/>
    <mergeCell ref="B5:C7"/>
    <mergeCell ref="B8:J8"/>
    <mergeCell ref="D5:J7"/>
    <mergeCell ref="H14:I14"/>
    <mergeCell ref="B23:C23"/>
    <mergeCell ref="B25:J26"/>
    <mergeCell ref="B17:C17"/>
    <mergeCell ref="B18:J18"/>
    <mergeCell ref="D23:J23"/>
    <mergeCell ref="D20:J20"/>
    <mergeCell ref="D21:J21"/>
    <mergeCell ref="D22:J22"/>
    <mergeCell ref="D16:G16"/>
    <mergeCell ref="D17:G17"/>
    <mergeCell ref="H16:I16"/>
    <mergeCell ref="H17:I17"/>
    <mergeCell ref="D24:J24"/>
    <mergeCell ref="D19:J19"/>
    <mergeCell ref="B15:C15"/>
    <mergeCell ref="B16:C16"/>
    <mergeCell ref="C1:J1"/>
    <mergeCell ref="D9:J9"/>
    <mergeCell ref="D15:G15"/>
    <mergeCell ref="D10:J10"/>
    <mergeCell ref="H3:J3"/>
    <mergeCell ref="D3:F3"/>
    <mergeCell ref="D11:J11"/>
    <mergeCell ref="D13:G13"/>
    <mergeCell ref="H13:I13"/>
    <mergeCell ref="D14:G14"/>
    <mergeCell ref="D12:G12"/>
    <mergeCell ref="H12:I12"/>
    <mergeCell ref="C30:I30"/>
    <mergeCell ref="C31:I31"/>
    <mergeCell ref="H15:J15"/>
    <mergeCell ref="B11:C11"/>
    <mergeCell ref="B37:C37"/>
    <mergeCell ref="B32:I32"/>
    <mergeCell ref="B33:C33"/>
    <mergeCell ref="B34:C34"/>
    <mergeCell ref="B35:C35"/>
    <mergeCell ref="B36:C36"/>
    <mergeCell ref="E33:G33"/>
    <mergeCell ref="H33:J37"/>
    <mergeCell ref="E37:G37"/>
    <mergeCell ref="E34:G34"/>
    <mergeCell ref="E35:G35"/>
    <mergeCell ref="E36:G36"/>
  </mergeCells>
  <hyperlinks>
    <hyperlink ref="J14" r:id="rId1" xr:uid="{3136D90A-8B76-4D41-BB8F-B7328889041A}"/>
  </hyperlinks>
  <pageMargins left="0.25" right="0.25" top="0.25" bottom="0.25" header="0.56496062999999996" footer="0.31496062992126"/>
  <pageSetup paperSize="9" scale="70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OTD </vt:lpstr>
      <vt:lpstr>'OTD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KS Negi</cp:lastModifiedBy>
  <cp:lastPrinted>2023-08-25T10:52:43Z</cp:lastPrinted>
  <dcterms:created xsi:type="dcterms:W3CDTF">2019-06-28T09:10:09Z</dcterms:created>
  <dcterms:modified xsi:type="dcterms:W3CDTF">2025-12-17T12:08:26Z</dcterms:modified>
</cp:coreProperties>
</file>