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<sst xmlns="http://schemas.openxmlformats.org/spreadsheetml/2006/main" count="71" uniqueCount="65">
  <si>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SALES ORDER FORM</t>
  </si>
  <si>
    <t xml:space="preserve">SO No. </t>
  </si>
  <si>
    <t>GEMC-51168779972654, GEMC-511687777581757, GEMC-511687725757614, GEMC-511687708670906, GEMC-511687776141755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</si>
  <si>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</si>
  <si>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</si>
  <si>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</si>
  <si>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</si>
  <si>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 Private Limited                                            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</si>
  <si>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</si>
  <si>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</si>
  <si>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NIIFT Mohali, CHANDIGARH</t>
  </si>
  <si>
    <t>Customer's/Partners's  Billing Address</t>
  </si>
  <si>
    <t>NIIFT Mohali, CHANDIGARH, CHANDIGARH-160017,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</si>
  <si>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</si>
  <si>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</si>
  <si>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</si>
  <si>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</si>
  <si>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</si>
  <si>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Ankush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</si>
  <si>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</si>
  <si>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</si>
  <si>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</si>
  <si>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</si>
  <si>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pao3.icdp.pb@gembuyer.in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</si>
  <si>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</si>
  <si>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</si>
  <si>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</si>
  <si>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</si>
  <si>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</si>
  <si>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</si>
  <si>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</si>
  <si>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</si>
  <si>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</si>
  <si>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>100% at the time of delivery and Installation</t>
  </si>
  <si>
    <t xml:space="preserve">Freight/Delivery Charges </t>
  </si>
  <si>
    <t xml:space="preserve">included </t>
  </si>
  <si>
    <t>Warranty</t>
  </si>
  <si>
    <t xml:space="preserve">3 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</si>
  <si>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</si>
  <si>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</si>
  <si>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</si>
  <si>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</si>
  <si>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</si>
  <si>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</si>
  <si>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>Picture</t>
  </si>
  <si>
    <t xml:space="preserve">Qty </t>
  </si>
  <si>
    <t xml:space="preserve">Unit Price </t>
  </si>
  <si>
    <t xml:space="preserve">Total </t>
  </si>
  <si>
    <t>GST 18%</t>
  </si>
  <si>
    <t xml:space="preserve">AMOUNT </t>
  </si>
  <si>
    <t xml:space="preserve">Promark AMD non-touch Type Of Information Kiosk Intel Core i3
Computer Kiosk Model: (KNT-43)
</t>
  </si>
  <si>
    <t xml:space="preserve">Promark Intel non-touch Type Of Information Kiosk Embedded
Computer Kiosk Model: KNT-55
</t>
  </si>
  <si>
    <t>Promark Mid-back Chair With Fixed armrest without cushion and padding (Conference Chair Model No. PVC-050)</t>
  </si>
  <si>
    <t>Promark Mid-back Chair With Fixed armrest with Padding (Conference Chair Model No. PVC-050)</t>
  </si>
  <si>
    <t xml:space="preserve"> Promark Mid-back Chair With Fixed armrest with Cushion (Conference Chair Model No. PVC-050)</t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</si>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</sst>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  <numFmt numFmtId="181" formatCode="dd/mmm/yy"/>
  </numFmts>
  <fonts count="39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</font>
    <font>
      <sz val="11"/>
      <color rgb="FF800080"/>
      <name val="Calibri"/>
      <charset val="134"/>
    </font>
    <font>
      <i/>
      <sz val="12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color rgb="FFFF0000"/>
      <name val="Calibri"/>
      <charset val="134"/>
      <scheme val="minor"/>
    </font>
    <font>
      <b/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0" fontId="17" fillId="8" borderId="1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11" borderId="18" applyNumberFormat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top" wrapText="1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2" fontId="9" fillId="4" borderId="3" xfId="0" applyNumberFormat="1" applyFont="1" applyFill="1" applyBorder="1" applyAlignment="1">
      <alignment horizontal="center" vertical="center" wrapText="1"/>
    </xf>
    <xf numFmtId="2" fontId="9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0" fontId="12" fillId="0" borderId="1" xfId="6" applyFont="1" applyBorder="1" applyAlignment="1" applyProtection="1">
      <alignment horizontal="center" vertical="center" wrapText="1"/>
    </xf>
    <xf numFmtId="0" fontId="13" fillId="0" borderId="1" xfId="6" applyFont="1" applyBorder="1" applyAlignment="1" applyProtection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7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/>
    </xf>
    <xf numFmtId="9" fontId="14" fillId="4" borderId="1" xfId="0" applyNumberFormat="1" applyFont="1" applyFill="1" applyBorder="1" applyAlignment="1">
      <alignment horizontal="center" vertical="center"/>
    </xf>
    <xf numFmtId="1" fontId="14" fillId="4" borderId="12" xfId="0" applyNumberFormat="1" applyFont="1" applyFill="1" applyBorder="1" applyAlignment="1">
      <alignment horizontal="center" vertical="center"/>
    </xf>
    <xf numFmtId="1" fontId="15" fillId="4" borderId="12" xfId="0" applyNumberFormat="1" applyFont="1" applyFill="1" applyBorder="1" applyAlignment="1">
      <alignment horizontal="center" vertical="center"/>
    </xf>
    <xf numFmtId="0" fontId="16" fillId="0" borderId="0" xfId="0" applyFont="1"/>
    <xf numFmtId="0" fontId="9" fillId="0" borderId="3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182880</xdr:colOff>
      <xdr:row>27</xdr:row>
      <xdr:rowOff>22860</xdr:rowOff>
    </xdr:from>
    <xdr:to>
      <xdr:col>4</xdr:col>
      <xdr:colOff>175260</xdr:colOff>
      <xdr:row>27</xdr:row>
      <xdr:rowOff>807720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4240" y="7035165"/>
          <a:ext cx="5029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182880</xdr:colOff>
      <xdr:row>28</xdr:row>
      <xdr:rowOff>22860</xdr:rowOff>
    </xdr:from>
    <xdr:ext cx="502920" cy="784860"/>
    <xdr:pic>
      <xdr:nvPicPr>
        <xdr:cNvPr id="4" name="Picture 3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44240" y="7865745"/>
          <a:ext cx="502920" cy="784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220980</xdr:colOff>
      <xdr:row>29</xdr:row>
      <xdr:rowOff>30480</xdr:rowOff>
    </xdr:from>
    <xdr:to>
      <xdr:col>4</xdr:col>
      <xdr:colOff>189071</xdr:colOff>
      <xdr:row>29</xdr:row>
      <xdr:rowOff>687705</xdr:rowOff>
    </xdr:to>
    <xdr:pic>
      <xdr:nvPicPr>
        <xdr:cNvPr id="5" name="Picture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82340" y="8734425"/>
          <a:ext cx="478155" cy="657225"/>
        </a:xfrm>
        <a:prstGeom prst="rect">
          <a:avLst/>
        </a:prstGeom>
      </xdr:spPr>
    </xdr:pic>
    <xdr:clientData/>
  </xdr:twoCellAnchor>
  <xdr:oneCellAnchor>
    <xdr:from>
      <xdr:col>3</xdr:col>
      <xdr:colOff>220980</xdr:colOff>
      <xdr:row>30</xdr:row>
      <xdr:rowOff>53340</xdr:rowOff>
    </xdr:from>
    <xdr:ext cx="478631" cy="657225"/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82340" y="9481185"/>
          <a:ext cx="478155" cy="657225"/>
        </a:xfrm>
        <a:prstGeom prst="rect">
          <a:avLst/>
        </a:prstGeom>
      </xdr:spPr>
    </xdr:pic>
    <xdr:clientData/>
  </xdr:oneCellAnchor>
  <xdr:oneCellAnchor>
    <xdr:from>
      <xdr:col>3</xdr:col>
      <xdr:colOff>251460</xdr:colOff>
      <xdr:row>31</xdr:row>
      <xdr:rowOff>22860</xdr:rowOff>
    </xdr:from>
    <xdr:ext cx="478631" cy="657225"/>
    <xdr:pic>
      <xdr:nvPicPr>
        <xdr:cNvPr id="7" name="Picture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12820" y="10174605"/>
          <a:ext cx="478155" cy="657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o3.icdp.pb@gembuyer.in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8"/>
  <sheetViews>
    <sheetView tabSelected="1" topLeftCell="A18" workbookViewId="0">
      <selection activeCell="L28" sqref="L28"/>
    </sheetView>
  </sheetViews>
  <sheetFormatPr defaultColWidth="9.11111111111111" defaultRowHeight="14.4"/>
  <cols>
    <col min="1" max="1" width="0.666666666666667" style="6" customWidth="1"/>
    <col min="2" max="2" width="7.88888888888889" style="6" customWidth="1"/>
    <col min="3" max="3" width="39" style="6" customWidth="1"/>
    <col min="4" max="5" width="7.44444444444444" style="6" customWidth="1"/>
    <col min="6" max="6" width="6.88888888888889" style="6" customWidth="1"/>
    <col min="7" max="8" width="13.1111111111111" style="6" customWidth="1"/>
    <col min="9" max="9" width="11.8888888888889" style="6" customWidth="1"/>
    <col min="10" max="10" width="13.8888888888889" style="6" customWidth="1"/>
    <col min="11" max="26" width="11" style="6" customWidth="1"/>
    <col min="27" max="16384" width="9.11111111111111" style="6"/>
  </cols>
  <sheetData>
    <row r="1" ht="5.25" customHeight="1" spans="3:12">
      <c r="C1" s="7"/>
      <c r="D1" s="7"/>
      <c r="E1" s="7"/>
      <c r="F1" s="7"/>
      <c r="G1" s="7"/>
      <c r="H1" s="7"/>
      <c r="I1" s="7"/>
      <c r="J1" s="7"/>
      <c r="K1" s="5"/>
      <c r="L1" s="5"/>
    </row>
    <row r="2" ht="20.25" customHeight="1" spans="2:12">
      <c r="B2" s="8" t="s">
        <v>0</v>
      </c>
      <c r="C2" s="8"/>
      <c r="D2" s="8"/>
      <c r="E2" s="8"/>
      <c r="F2" s="8"/>
      <c r="G2" s="8"/>
      <c r="H2" s="8"/>
      <c r="I2" s="8"/>
      <c r="J2" s="8"/>
      <c r="K2" s="5"/>
      <c r="L2" s="5"/>
    </row>
    <row r="3" s="1" customFormat="1" ht="34.8" customHeight="1" spans="2:10">
      <c r="B3" s="9" t="s">
        <v>1</v>
      </c>
      <c r="C3" s="10" t="s">
        <v>2</v>
      </c>
      <c r="D3" s="10"/>
      <c r="E3" s="10"/>
      <c r="F3" s="10"/>
      <c r="G3" s="10"/>
      <c r="H3" s="11" t="s">
        <v>3</v>
      </c>
      <c r="I3" s="59"/>
      <c r="J3" s="60">
        <v>45938</v>
      </c>
    </row>
    <row r="4" ht="19.5" customHeight="1" spans="2:12">
      <c r="B4" s="12" t="s">
        <v>4</v>
      </c>
      <c r="C4" s="12"/>
      <c r="D4" s="12"/>
      <c r="E4" s="12"/>
      <c r="F4" s="12"/>
      <c r="G4" s="12"/>
      <c r="H4" s="12"/>
      <c r="I4" s="12"/>
      <c r="J4" s="12"/>
      <c r="K4" s="5"/>
      <c r="L4" s="5" t="s">
        <v>5</v>
      </c>
    </row>
    <row r="5" ht="13.5" customHeight="1" spans="2:12">
      <c r="B5" s="13" t="s">
        <v>6</v>
      </c>
      <c r="C5" s="13"/>
      <c r="D5" s="14" t="s">
        <v>7</v>
      </c>
      <c r="E5" s="14"/>
      <c r="F5" s="14"/>
      <c r="G5" s="14"/>
      <c r="H5" s="14"/>
      <c r="I5" s="14"/>
      <c r="J5" s="14"/>
      <c r="K5" s="5"/>
      <c r="L5" s="5"/>
    </row>
    <row r="6" ht="8.25" customHeight="1" spans="2:12">
      <c r="B6" s="13"/>
      <c r="C6" s="13"/>
      <c r="D6" s="14"/>
      <c r="E6" s="14"/>
      <c r="F6" s="14"/>
      <c r="G6" s="14"/>
      <c r="H6" s="14"/>
      <c r="I6" s="14"/>
      <c r="J6" s="14"/>
      <c r="K6" s="5"/>
      <c r="L6" s="5"/>
    </row>
    <row r="7" ht="11.25" customHeight="1" spans="2:12">
      <c r="B7" s="13"/>
      <c r="C7" s="13"/>
      <c r="D7" s="14"/>
      <c r="E7" s="14"/>
      <c r="F7" s="14"/>
      <c r="G7" s="14"/>
      <c r="H7" s="14"/>
      <c r="I7" s="14"/>
      <c r="J7" s="14"/>
      <c r="K7" s="5"/>
      <c r="L7" s="5"/>
    </row>
    <row r="8" ht="24.6" customHeight="1" spans="2:12">
      <c r="B8" s="15" t="s">
        <v>8</v>
      </c>
      <c r="C8" s="15"/>
      <c r="D8" s="15"/>
      <c r="E8" s="15"/>
      <c r="F8" s="15"/>
      <c r="G8" s="15"/>
      <c r="H8" s="15"/>
      <c r="I8" s="15"/>
      <c r="J8" s="15"/>
      <c r="K8" s="5"/>
      <c r="L8" s="5"/>
    </row>
    <row r="9" ht="25.5" customHeight="1" spans="2:12">
      <c r="B9" s="16" t="s">
        <v>9</v>
      </c>
      <c r="C9" s="16"/>
      <c r="D9" s="17" t="s">
        <v>10</v>
      </c>
      <c r="E9" s="17"/>
      <c r="F9" s="17"/>
      <c r="G9" s="17"/>
      <c r="H9" s="17"/>
      <c r="I9" s="17"/>
      <c r="J9" s="17"/>
      <c r="K9" s="5"/>
      <c r="L9" s="5" t="s">
        <v>5</v>
      </c>
    </row>
    <row r="10" ht="30.75" customHeight="1" spans="2:12">
      <c r="B10" s="16" t="s">
        <v>11</v>
      </c>
      <c r="C10" s="16"/>
      <c r="D10" s="17" t="s">
        <v>12</v>
      </c>
      <c r="E10" s="17"/>
      <c r="F10" s="17"/>
      <c r="G10" s="17"/>
      <c r="H10" s="17"/>
      <c r="I10" s="17"/>
      <c r="J10" s="17"/>
      <c r="K10" s="5"/>
      <c r="L10" s="5"/>
    </row>
    <row r="11" ht="30.75" customHeight="1" spans="2:12">
      <c r="B11" s="18" t="s">
        <v>13</v>
      </c>
      <c r="C11" s="19"/>
      <c r="D11" s="17" t="s">
        <v>12</v>
      </c>
      <c r="E11" s="17"/>
      <c r="F11" s="17"/>
      <c r="G11" s="17"/>
      <c r="H11" s="17"/>
      <c r="I11" s="17"/>
      <c r="J11" s="17"/>
      <c r="K11" s="5"/>
      <c r="L11" s="5"/>
    </row>
    <row r="12" ht="27" customHeight="1" spans="2:12">
      <c r="B12" s="20" t="s">
        <v>14</v>
      </c>
      <c r="C12" s="21"/>
      <c r="D12" s="75" t="s">
        <v>15</v>
      </c>
      <c r="E12" s="23"/>
      <c r="F12" s="23"/>
      <c r="G12" s="24"/>
      <c r="H12" s="25" t="s">
        <v>16</v>
      </c>
      <c r="I12" s="61"/>
      <c r="J12" s="62"/>
      <c r="K12" s="5"/>
      <c r="L12" s="5"/>
    </row>
    <row r="13" ht="23.25" customHeight="1" spans="2:12">
      <c r="B13" s="16" t="s">
        <v>17</v>
      </c>
      <c r="C13" s="16"/>
      <c r="D13" s="26" t="s">
        <v>18</v>
      </c>
      <c r="E13" s="23"/>
      <c r="F13" s="23"/>
      <c r="G13" s="24"/>
      <c r="H13" s="25" t="s">
        <v>19</v>
      </c>
      <c r="I13" s="61"/>
      <c r="J13" s="62" t="s">
        <v>20</v>
      </c>
      <c r="K13" s="5"/>
      <c r="L13" s="5"/>
    </row>
    <row r="14" ht="28.5" customHeight="1" spans="2:12">
      <c r="B14" s="16" t="s">
        <v>21</v>
      </c>
      <c r="C14" s="16"/>
      <c r="D14" s="27">
        <v>7973624135</v>
      </c>
      <c r="E14" s="28"/>
      <c r="F14" s="28"/>
      <c r="G14" s="29"/>
      <c r="H14" s="25" t="s">
        <v>22</v>
      </c>
      <c r="I14" s="61"/>
      <c r="J14" s="63" t="s">
        <v>23</v>
      </c>
      <c r="K14" s="5"/>
      <c r="L14" s="5"/>
    </row>
    <row r="15" ht="23.25" customHeight="1" spans="2:12">
      <c r="B15" s="16" t="s">
        <v>24</v>
      </c>
      <c r="C15" s="16"/>
      <c r="D15" s="22" t="s">
        <v>25</v>
      </c>
      <c r="E15" s="23"/>
      <c r="F15" s="23"/>
      <c r="G15" s="24"/>
      <c r="H15" s="30" t="s">
        <v>26</v>
      </c>
      <c r="I15" s="64"/>
      <c r="J15" s="65"/>
      <c r="K15" s="5"/>
      <c r="L15" s="5"/>
    </row>
    <row r="16" ht="23.25" customHeight="1" spans="2:12">
      <c r="B16" s="16" t="s">
        <v>27</v>
      </c>
      <c r="C16" s="16"/>
      <c r="D16" s="22" t="s">
        <v>28</v>
      </c>
      <c r="E16" s="23"/>
      <c r="F16" s="23"/>
      <c r="G16" s="24"/>
      <c r="H16" s="25"/>
      <c r="I16" s="61"/>
      <c r="J16" s="66"/>
      <c r="K16" s="5"/>
      <c r="L16" s="5"/>
    </row>
    <row r="17" ht="23.25" customHeight="1" spans="2:12">
      <c r="B17" s="18" t="s">
        <v>29</v>
      </c>
      <c r="C17" s="19"/>
      <c r="D17" s="22" t="s">
        <v>28</v>
      </c>
      <c r="E17" s="23"/>
      <c r="F17" s="23"/>
      <c r="G17" s="24"/>
      <c r="H17" s="25" t="s">
        <v>30</v>
      </c>
      <c r="I17" s="61"/>
      <c r="J17" s="66"/>
      <c r="K17" s="5"/>
      <c r="L17" s="5"/>
    </row>
    <row r="18" s="2" customFormat="1" ht="19.5" customHeight="1" spans="2:13">
      <c r="B18" s="12" t="s">
        <v>31</v>
      </c>
      <c r="C18" s="12"/>
      <c r="D18" s="12"/>
      <c r="E18" s="12"/>
      <c r="F18" s="12"/>
      <c r="G18" s="12"/>
      <c r="H18" s="12"/>
      <c r="I18" s="12"/>
      <c r="J18" s="12"/>
      <c r="K18" s="67"/>
      <c r="L18" s="67"/>
      <c r="M18"/>
    </row>
    <row r="19" ht="18.75" customHeight="1" spans="2:12">
      <c r="B19" s="31" t="s">
        <v>32</v>
      </c>
      <c r="C19" s="31"/>
      <c r="D19" s="32" t="s">
        <v>33</v>
      </c>
      <c r="E19" s="32"/>
      <c r="F19" s="32"/>
      <c r="G19" s="32"/>
      <c r="H19" s="32"/>
      <c r="I19" s="32"/>
      <c r="J19" s="32"/>
      <c r="K19" s="5"/>
      <c r="L19" s="5"/>
    </row>
    <row r="20" ht="18.75" customHeight="1" spans="2:12">
      <c r="B20" s="31" t="s">
        <v>34</v>
      </c>
      <c r="C20" s="31"/>
      <c r="D20" s="32" t="s">
        <v>35</v>
      </c>
      <c r="E20" s="32"/>
      <c r="F20" s="32"/>
      <c r="G20" s="32"/>
      <c r="H20" s="32"/>
      <c r="I20" s="32"/>
      <c r="J20" s="32"/>
      <c r="K20" s="5"/>
      <c r="L20" s="5"/>
    </row>
    <row r="21" ht="18.75" customHeight="1" spans="2:12">
      <c r="B21" s="31" t="s">
        <v>36</v>
      </c>
      <c r="C21" s="31"/>
      <c r="D21" s="32" t="s">
        <v>37</v>
      </c>
      <c r="E21" s="32"/>
      <c r="F21" s="32"/>
      <c r="G21" s="32"/>
      <c r="H21" s="32"/>
      <c r="I21" s="32"/>
      <c r="J21" s="32"/>
      <c r="K21" s="5"/>
      <c r="L21"/>
    </row>
    <row r="22" ht="18.75" customHeight="1" spans="2:12">
      <c r="B22" s="31" t="s">
        <v>38</v>
      </c>
      <c r="C22" s="31"/>
      <c r="D22" s="32" t="s">
        <v>35</v>
      </c>
      <c r="E22" s="32"/>
      <c r="F22" s="32"/>
      <c r="G22" s="32"/>
      <c r="H22" s="32"/>
      <c r="I22" s="32"/>
      <c r="J22" s="32"/>
      <c r="K22" s="5"/>
      <c r="L22" s="5"/>
    </row>
    <row r="23" ht="18.75" customHeight="1" spans="2:12">
      <c r="B23" s="33" t="s">
        <v>39</v>
      </c>
      <c r="C23" s="33"/>
      <c r="D23" s="34" t="s">
        <v>15</v>
      </c>
      <c r="E23" s="32"/>
      <c r="F23" s="32"/>
      <c r="G23" s="32"/>
      <c r="H23" s="32"/>
      <c r="I23" s="32"/>
      <c r="J23" s="32"/>
      <c r="K23" s="5"/>
      <c r="L23" s="5"/>
    </row>
    <row r="24" ht="18.75" customHeight="1" spans="2:15">
      <c r="B24" s="20" t="s">
        <v>40</v>
      </c>
      <c r="C24" s="21"/>
      <c r="D24" s="35">
        <v>45945</v>
      </c>
      <c r="E24" s="36"/>
      <c r="F24" s="36"/>
      <c r="G24" s="36"/>
      <c r="H24" s="36"/>
      <c r="I24" s="36"/>
      <c r="J24" s="36"/>
      <c r="K24" s="5"/>
      <c r="L24" s="5"/>
      <c r="O24"/>
    </row>
    <row r="25" ht="15" customHeight="1" spans="2:12">
      <c r="B25" s="37" t="s">
        <v>41</v>
      </c>
      <c r="C25" s="37"/>
      <c r="D25" s="37"/>
      <c r="E25" s="37"/>
      <c r="F25" s="37"/>
      <c r="G25" s="37"/>
      <c r="H25" s="37"/>
      <c r="I25" s="37"/>
      <c r="J25" s="68"/>
      <c r="K25" s="5"/>
      <c r="L25" s="5"/>
    </row>
    <row r="26" ht="12" customHeight="1" spans="2:13">
      <c r="B26" s="38"/>
      <c r="C26" s="38"/>
      <c r="D26" s="38"/>
      <c r="E26" s="38"/>
      <c r="F26" s="38"/>
      <c r="G26" s="38"/>
      <c r="H26" s="38"/>
      <c r="I26" s="38"/>
      <c r="J26" s="69"/>
      <c r="K26" s="5"/>
      <c r="L26" s="5"/>
      <c r="M26"/>
    </row>
    <row r="27" s="3" customFormat="1" ht="20.25" customHeight="1" spans="2:10">
      <c r="B27" s="39" t="s">
        <v>42</v>
      </c>
      <c r="C27" s="39" t="s">
        <v>43</v>
      </c>
      <c r="D27" s="40" t="s">
        <v>44</v>
      </c>
      <c r="E27" s="41"/>
      <c r="F27" s="42" t="s">
        <v>45</v>
      </c>
      <c r="G27" s="43" t="s">
        <v>46</v>
      </c>
      <c r="H27" s="44" t="s">
        <v>47</v>
      </c>
      <c r="I27" s="39" t="s">
        <v>48</v>
      </c>
      <c r="J27" s="70" t="s">
        <v>49</v>
      </c>
    </row>
    <row r="28" ht="65.4" customHeight="1" spans="2:17">
      <c r="B28" s="36">
        <v>1</v>
      </c>
      <c r="C28" s="45" t="s">
        <v>50</v>
      </c>
      <c r="D28" s="46"/>
      <c r="E28" s="47"/>
      <c r="F28" s="48">
        <v>1</v>
      </c>
      <c r="G28" s="49">
        <v>84744.915</v>
      </c>
      <c r="H28" s="50">
        <f>F28*G28</f>
        <v>84744.915</v>
      </c>
      <c r="I28" s="71">
        <v>0.18</v>
      </c>
      <c r="J28" s="72">
        <f>(H28*I28)+H28</f>
        <v>99998.9997</v>
      </c>
      <c r="K28" s="5" t="s">
        <v>5</v>
      </c>
      <c r="L28" s="5"/>
      <c r="Q28"/>
    </row>
    <row r="29" ht="67.8" customHeight="1" spans="2:17">
      <c r="B29" s="36">
        <v>2</v>
      </c>
      <c r="C29" s="51" t="s">
        <v>51</v>
      </c>
      <c r="D29" s="46"/>
      <c r="E29" s="47"/>
      <c r="F29" s="48">
        <v>1</v>
      </c>
      <c r="G29" s="49">
        <v>101694.915</v>
      </c>
      <c r="H29" s="50">
        <f t="shared" ref="H29:H32" si="0">F29*G29</f>
        <v>101694.915</v>
      </c>
      <c r="I29" s="71">
        <v>0.18</v>
      </c>
      <c r="J29" s="72">
        <f t="shared" ref="J29:J32" si="1">(H29*I29)+H29</f>
        <v>119999.9997</v>
      </c>
      <c r="K29" s="5"/>
      <c r="L29" s="5"/>
      <c r="Q29"/>
    </row>
    <row r="30" ht="57" customHeight="1" spans="2:17">
      <c r="B30" s="36">
        <v>3</v>
      </c>
      <c r="C30" s="51" t="s">
        <v>52</v>
      </c>
      <c r="D30" s="46"/>
      <c r="E30" s="47"/>
      <c r="F30" s="48">
        <v>5</v>
      </c>
      <c r="G30" s="49">
        <v>7627.118</v>
      </c>
      <c r="H30" s="50">
        <f t="shared" si="0"/>
        <v>38135.59</v>
      </c>
      <c r="I30" s="71">
        <v>0.18</v>
      </c>
      <c r="J30" s="72">
        <f t="shared" si="1"/>
        <v>44999.9962</v>
      </c>
      <c r="K30" s="5"/>
      <c r="L30" s="5"/>
      <c r="Q30"/>
    </row>
    <row r="31" ht="57" customHeight="1" spans="2:17">
      <c r="B31" s="36">
        <v>4</v>
      </c>
      <c r="C31" s="51" t="s">
        <v>53</v>
      </c>
      <c r="D31" s="46"/>
      <c r="E31" s="47"/>
      <c r="F31" s="48">
        <v>5</v>
      </c>
      <c r="G31" s="49">
        <v>7627.118</v>
      </c>
      <c r="H31" s="50">
        <f t="shared" si="0"/>
        <v>38135.59</v>
      </c>
      <c r="I31" s="71">
        <v>0.18</v>
      </c>
      <c r="J31" s="72">
        <f t="shared" si="1"/>
        <v>44999.9962</v>
      </c>
      <c r="K31" s="5"/>
      <c r="L31" s="5"/>
      <c r="Q31"/>
    </row>
    <row r="32" ht="57" customHeight="1" spans="2:17">
      <c r="B32" s="36">
        <v>5</v>
      </c>
      <c r="C32" s="51" t="s">
        <v>54</v>
      </c>
      <c r="D32" s="46"/>
      <c r="E32" s="47"/>
      <c r="F32" s="48">
        <v>5</v>
      </c>
      <c r="G32" s="49">
        <v>7627.118</v>
      </c>
      <c r="H32" s="50">
        <f t="shared" si="0"/>
        <v>38135.59</v>
      </c>
      <c r="I32" s="71">
        <v>0.18</v>
      </c>
      <c r="J32" s="72">
        <f t="shared" si="1"/>
        <v>44999.9962</v>
      </c>
      <c r="K32" s="5"/>
      <c r="L32" s="5"/>
      <c r="Q32"/>
    </row>
    <row r="33" s="4" customFormat="1" ht="24.75" customHeight="1" spans="2:13">
      <c r="B33" s="52" t="s">
        <v>55</v>
      </c>
      <c r="C33" s="52"/>
      <c r="D33" s="52"/>
      <c r="E33" s="52"/>
      <c r="F33" s="52"/>
      <c r="G33" s="52"/>
      <c r="H33" s="52"/>
      <c r="I33" s="52"/>
      <c r="J33" s="73">
        <f>SUM(J28:J32)</f>
        <v>354998.988</v>
      </c>
      <c r="M33" s="74"/>
    </row>
    <row r="34" s="5" customFormat="1" ht="18" spans="2:10">
      <c r="B34" s="53" t="s">
        <v>56</v>
      </c>
      <c r="C34" s="53"/>
      <c r="D34" s="53" t="s">
        <v>57</v>
      </c>
      <c r="E34" s="53" t="s">
        <v>58</v>
      </c>
      <c r="F34" s="53"/>
      <c r="G34" s="53"/>
      <c r="H34" s="54" t="s">
        <v>59</v>
      </c>
      <c r="I34" s="54"/>
      <c r="J34" s="54"/>
    </row>
    <row r="35" ht="15.6" spans="2:10">
      <c r="B35" s="55" t="s">
        <v>60</v>
      </c>
      <c r="C35" s="55"/>
      <c r="D35" s="56" t="s">
        <v>61</v>
      </c>
      <c r="E35" s="57"/>
      <c r="F35" s="57"/>
      <c r="G35" s="57"/>
      <c r="H35" s="54"/>
      <c r="I35" s="54"/>
      <c r="J35" s="54"/>
    </row>
    <row r="36" ht="15.6" spans="2:10">
      <c r="B36" s="55" t="s">
        <v>62</v>
      </c>
      <c r="C36" s="55"/>
      <c r="D36" s="56"/>
      <c r="E36" s="57"/>
      <c r="F36" s="57"/>
      <c r="G36" s="57"/>
      <c r="H36" s="54"/>
      <c r="I36" s="54"/>
      <c r="J36" s="54"/>
    </row>
    <row r="37" ht="15.6" spans="2:10">
      <c r="B37" s="58" t="s">
        <v>63</v>
      </c>
      <c r="C37" s="58"/>
      <c r="D37" s="56"/>
      <c r="E37" s="57"/>
      <c r="F37" s="57"/>
      <c r="G37" s="57"/>
      <c r="H37" s="54"/>
      <c r="I37" s="54"/>
      <c r="J37" s="54"/>
    </row>
    <row r="38" ht="14.25" customHeight="1" spans="2:10">
      <c r="B38" s="55" t="s">
        <v>64</v>
      </c>
      <c r="C38" s="55"/>
      <c r="D38" s="56"/>
      <c r="E38" s="57"/>
      <c r="F38" s="57"/>
      <c r="G38" s="57"/>
      <c r="H38" s="54"/>
      <c r="I38" s="54"/>
      <c r="J38" s="54"/>
    </row>
  </sheetData>
  <mergeCells count="52">
    <mergeCell ref="C1:J1"/>
    <mergeCell ref="B2:J2"/>
    <mergeCell ref="C3:G3"/>
    <mergeCell ref="H3:I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D27:E27"/>
    <mergeCell ref="D28:E28"/>
    <mergeCell ref="D29:E29"/>
    <mergeCell ref="D30:E30"/>
    <mergeCell ref="D31:E31"/>
    <mergeCell ref="D32:E32"/>
    <mergeCell ref="B33:I33"/>
    <mergeCell ref="B34:C34"/>
    <mergeCell ref="E34:G34"/>
    <mergeCell ref="B35:C35"/>
    <mergeCell ref="E35:G35"/>
    <mergeCell ref="B36:C36"/>
    <mergeCell ref="E36:G36"/>
    <mergeCell ref="B37:C37"/>
    <mergeCell ref="E37:G37"/>
    <mergeCell ref="B38:C38"/>
    <mergeCell ref="E38:G38"/>
    <mergeCell ref="H34:J38"/>
    <mergeCell ref="D5:J7"/>
    <mergeCell ref="B5:C7"/>
    <mergeCell ref="B25:J26"/>
  </mergeCells>
  <hyperlinks>
    <hyperlink ref="J14" r:id="rId2" display="pao3.icdp.pb@gembuyer.in"/>
  </hyperlinks>
  <pageMargins left="0.25" right="0.25" top="0.25" bottom="0.25" header="0.56496063" footer="0.31496062992126"/>
  <pageSetup paperSize="9" scale="7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2025-10-10T07:18:51Z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48B29B095BAD4E118E64D2DA0210F86F_13</vt:lpwstr>
  </property>
  <property fmtid="{D5CDD505-2E9C-101B-9397-08002B2CF9AE}" pid="3" name="KSOProductBuildVer">
    <vt:lpwstr>1033-12.2.0.22549</vt:lpwstr>
  </property>
</Properties>
</file>