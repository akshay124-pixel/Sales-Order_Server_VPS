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H9" i="1"/>
  <c r="H8" i="1"/>
  <c r="H7" i="1"/>
  <c r="H6" i="1"/>
  <c r="H5" i="1"/>
  <c r="G9" i="1"/>
  <c r="G8" i="1"/>
  <c r="G7" i="1"/>
  <c r="G6" i="1"/>
  <c r="G5" i="1"/>
  <c r="E10" i="1" l="1"/>
  <c r="G4" i="1"/>
  <c r="H4" i="1" s="1"/>
  <c r="I4" i="1" l="1"/>
  <c r="G10" i="1"/>
  <c r="I10" i="1" l="1"/>
</calcChain>
</file>

<file path=xl/sharedStrings.xml><?xml version="1.0" encoding="utf-8"?>
<sst xmlns="http://schemas.openxmlformats.org/spreadsheetml/2006/main" count="28" uniqueCount="24">
  <si>
    <t>size</t>
  </si>
  <si>
    <t>android</t>
  </si>
  <si>
    <t>qtys</t>
  </si>
  <si>
    <t>pricing</t>
  </si>
  <si>
    <t>65''</t>
  </si>
  <si>
    <t>75''</t>
  </si>
  <si>
    <t>14/8/128</t>
  </si>
  <si>
    <t>core processor</t>
  </si>
  <si>
    <t>Quad core+EDLA</t>
  </si>
  <si>
    <t>PTZ</t>
  </si>
  <si>
    <t>camera</t>
  </si>
  <si>
    <t>PRO 3008 20X, 4K, Voice Tracking, Gesture Control, 30fps, USB 3.0</t>
  </si>
  <si>
    <t>amount</t>
  </si>
  <si>
    <t>gst @18%</t>
  </si>
  <si>
    <t>actual</t>
  </si>
  <si>
    <t>JK stocks planning</t>
  </si>
  <si>
    <t>VC700</t>
  </si>
  <si>
    <t>Paired Bluetooth Speakerphone, Black</t>
  </si>
  <si>
    <t>Mics+sepakers intergrated</t>
  </si>
  <si>
    <t>4 Cup Mike, 4K Ai Video Bar Kit, Camera IR Remote Control EU Plug</t>
  </si>
  <si>
    <t>PRO AI5W</t>
  </si>
  <si>
    <t>4 cup mics intergrated for vc</t>
  </si>
  <si>
    <t xml:space="preserve">Total </t>
  </si>
  <si>
    <t>Octacore processor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</si>
</sst>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tabSelected="1" workbookViewId="0">
      <selection activeCell="J7" sqref="J7"/>
    </sheetView>
  </sheetViews>
  <sheetFormatPr defaultRowHeight="15" x14ac:dyDescent="0.25"/>
  <cols>
    <col min="2" max="2" width="17" bestFit="1" customWidth="1"/>
    <col min="3" max="3" width="17.7109375" customWidth="1"/>
    <col min="4" max="4" width="19.5703125" customWidth="1"/>
    <col min="5" max="5" width="5.5703125" customWidth="1"/>
  </cols>
  <sheetData>
    <row r="2" spans="2:9" x14ac:dyDescent="0.25">
      <c r="B2" s="4" t="s">
        <v>15</v>
      </c>
      <c r="C2" s="4"/>
      <c r="D2" s="4"/>
      <c r="E2" s="4"/>
      <c r="F2" s="4"/>
      <c r="G2" s="4"/>
      <c r="H2" s="4"/>
      <c r="I2" s="4"/>
    </row>
    <row r="3" spans="2:9" x14ac:dyDescent="0.25">
      <c r="B3" s="5" t="s">
        <v>0</v>
      </c>
      <c r="C3" s="5" t="s">
        <v>1</v>
      </c>
      <c r="D3" s="5" t="s">
        <v>7</v>
      </c>
      <c r="E3" s="5" t="s">
        <v>2</v>
      </c>
      <c r="F3" s="5" t="s">
        <v>3</v>
      </c>
      <c r="G3" s="5" t="s">
        <v>12</v>
      </c>
      <c r="H3" s="5" t="s">
        <v>13</v>
      </c>
      <c r="I3" s="5" t="s">
        <v>14</v>
      </c>
    </row>
    <row r="4" spans="2:9" x14ac:dyDescent="0.25">
      <c r="B4" s="1" t="s">
        <v>4</v>
      </c>
      <c r="C4" s="1" t="s">
        <v>6</v>
      </c>
      <c r="D4" s="1" t="s">
        <v>8</v>
      </c>
      <c r="E4" s="1">
        <v>10</v>
      </c>
      <c r="F4" s="1">
        <v>59500</v>
      </c>
      <c r="G4" s="1">
        <f t="shared" ref="G4:G9" si="0">E4*F4</f>
        <v>595000</v>
      </c>
      <c r="H4" s="1">
        <f t="shared" ref="H4:H9" si="1">G4*18%</f>
        <v>107100</v>
      </c>
      <c r="I4" s="1">
        <f t="shared" ref="I4:I9" si="2">G4+H4</f>
        <v>702100</v>
      </c>
    </row>
    <row r="5" spans="2:9" x14ac:dyDescent="0.25">
      <c r="B5" s="1" t="s">
        <v>5</v>
      </c>
      <c r="C5" s="1" t="s">
        <v>6</v>
      </c>
      <c r="D5" s="1" t="s">
        <v>8</v>
      </c>
      <c r="E5" s="1">
        <v>15</v>
      </c>
      <c r="F5" s="1">
        <v>73500</v>
      </c>
      <c r="G5" s="1">
        <f t="shared" si="0"/>
        <v>1102500</v>
      </c>
      <c r="H5" s="1">
        <f t="shared" si="1"/>
        <v>198450</v>
      </c>
      <c r="I5" s="1">
        <f t="shared" si="2"/>
        <v>1300950</v>
      </c>
    </row>
    <row r="6" spans="2:9" x14ac:dyDescent="0.25">
      <c r="B6" s="1" t="s">
        <v>5</v>
      </c>
      <c r="C6" s="1" t="s">
        <v>6</v>
      </c>
      <c r="D6" s="1" t="s">
        <v>23</v>
      </c>
      <c r="E6" s="1">
        <v>15</v>
      </c>
      <c r="F6" s="1">
        <v>71500</v>
      </c>
      <c r="G6" s="1">
        <f t="shared" si="0"/>
        <v>1072500</v>
      </c>
      <c r="H6" s="1">
        <f t="shared" si="1"/>
        <v>193050</v>
      </c>
      <c r="I6" s="1">
        <f t="shared" si="2"/>
        <v>1265550</v>
      </c>
    </row>
    <row r="7" spans="2:9" ht="75" x14ac:dyDescent="0.25">
      <c r="B7" s="1" t="s">
        <v>20</v>
      </c>
      <c r="C7" s="2" t="s">
        <v>21</v>
      </c>
      <c r="D7" s="2" t="s">
        <v>19</v>
      </c>
      <c r="E7" s="1">
        <v>2</v>
      </c>
      <c r="F7" s="1">
        <v>49164</v>
      </c>
      <c r="G7" s="1">
        <f t="shared" si="0"/>
        <v>98328</v>
      </c>
      <c r="H7" s="3">
        <f t="shared" si="1"/>
        <v>17699.04</v>
      </c>
      <c r="I7" s="1">
        <f t="shared" si="2"/>
        <v>116027.04000000001</v>
      </c>
    </row>
    <row r="8" spans="2:9" ht="45" x14ac:dyDescent="0.25">
      <c r="B8" s="1" t="s">
        <v>16</v>
      </c>
      <c r="C8" s="2" t="s">
        <v>18</v>
      </c>
      <c r="D8" s="2" t="s">
        <v>17</v>
      </c>
      <c r="E8" s="1">
        <v>2</v>
      </c>
      <c r="F8" s="1">
        <v>40659</v>
      </c>
      <c r="G8" s="1">
        <f t="shared" si="0"/>
        <v>81318</v>
      </c>
      <c r="H8" s="3">
        <f t="shared" si="1"/>
        <v>14637.24</v>
      </c>
      <c r="I8" s="3">
        <f t="shared" si="2"/>
        <v>95955.24</v>
      </c>
    </row>
    <row r="9" spans="2:9" ht="90" x14ac:dyDescent="0.25">
      <c r="B9" s="1" t="s">
        <v>9</v>
      </c>
      <c r="C9" s="1" t="s">
        <v>10</v>
      </c>
      <c r="D9" s="2" t="s">
        <v>11</v>
      </c>
      <c r="E9" s="1">
        <v>5</v>
      </c>
      <c r="F9" s="1">
        <v>37489</v>
      </c>
      <c r="G9" s="1">
        <f t="shared" si="0"/>
        <v>187445</v>
      </c>
      <c r="H9" s="3">
        <f t="shared" si="1"/>
        <v>33740.1</v>
      </c>
      <c r="I9" s="3">
        <f t="shared" si="2"/>
        <v>221185.1</v>
      </c>
    </row>
    <row r="10" spans="2:9" x14ac:dyDescent="0.25">
      <c r="B10" s="6"/>
      <c r="C10" s="6"/>
      <c r="D10" s="7" t="s">
        <v>22</v>
      </c>
      <c r="E10" s="7">
        <f>SUM(E4:E9)</f>
        <v>49</v>
      </c>
      <c r="F10" s="7"/>
      <c r="G10" s="7">
        <f>SUM(G4:G9)</f>
        <v>3137091</v>
      </c>
      <c r="H10" s="8"/>
      <c r="I10" s="7">
        <f>SUM(I4:I9)</f>
        <v>3701767.3800000004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2025-12-20T12:17:20Z</dcterms:modified>
</cp:coreProperties>
</file>